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2027" sheetId="1" state="visible" r:id="rId1"/>
    <sheet xmlns:r="http://schemas.openxmlformats.org/officeDocument/2006/relationships" name="2027 Drivers" sheetId="2" state="visible" r:id="rId2"/>
    <sheet xmlns:r="http://schemas.openxmlformats.org/officeDocument/2006/relationships" name="Weekly F&amp;B labor 33%" sheetId="3" state="visible" r:id="rId3"/>
    <sheet xmlns:r="http://schemas.openxmlformats.org/officeDocument/2006/relationships" name="2027 Operating Budget" sheetId="4" state="visible" r:id="rId4"/>
  </sheets>
  <definedNames>
    <definedName name="CUR_KEYS">Assumptions!$C$5</definedName>
    <definedName name="NEW_KEYS">Assumptions!$D$5</definedName>
    <definedName name="CUR_GSF">Assumptions!$C$6</definedName>
    <definedName name="NEW_GSF">Assumptions!$D$6</definedName>
    <definedName name="KEY_X">Assumptions!$D$7</definedName>
    <definedName name="GSF_X">Assumptions!$D$8</definedName>
    <definedName name="GUEST_SHARE">Assumptions!$D$14</definedName>
    <definedName name="LOCAL_LIFT">Assumptions!$D$15</definedName>
    <definedName name="INC_FP">Assumptions!$D$16</definedName>
    <definedName name="INC_SOCC">Assumptions!$D$17</definedName>
    <definedName name="EVT_LIFT">Assumptions!$D$18</definedName>
    <definedName name="CC_RATE">Assumptions!$D$23</definedName>
    <definedName name="MGMT_RATE">Assumptions!$D$24</definedName>
    <definedName name="LEASE_GSF">Assumptions!$D$30</definedName>
    <definedName name="OPEX_GSF">Assumptions!$D$31</definedName>
    <definedName name="TAXINS_GSF">Assumptions!$D$32</definedName>
    <definedName name="UTIL_GSF">Assumptions!$D$33</definedName>
    <definedName name="FFE_KEYS">Assumptions!$D$34</definedName>
    <definedName name="RM_SF_SHARE">Assumptions!$D$35</definedName>
    <definedName name="HSUP_KEYS">Assumptions!$D$36</definedName>
    <definedName name="RSUP_FB">Assumptions!$D$37</definedName>
    <definedName name="MKT_LIFT">Assumptions!$D$38</definedName>
    <definedName name="GA_LIFT">Assumptions!$D$39</definedName>
    <definedName name="PTAX_LIFT">Assumptions!$D$40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0.0%"/>
    <numFmt numFmtId="165" formatCode="$#,##0.00"/>
    <numFmt numFmtId="166" formatCode="$#,##0"/>
    <numFmt numFmtId="167" formatCode="+0.0%;-0.0%;0.0%"/>
    <numFmt numFmtId="168" formatCode="_($* #,##0_);_($* (#,##0);_($* &quot;-&quot;??_);_(@_)"/>
    <numFmt numFmtId="169" formatCode="#,##0.0"/>
    <numFmt numFmtId="170" formatCode="_(&quot;$&quot;* #,##0.00_);_(&quot;$&quot;* \(#,##0.00\);_(&quot;$&quot;* &quot;-&quot;??_);_(@_)"/>
    <numFmt numFmtId="171" formatCode="&quot;$&quot;#,##0_);[Red]\(&quot;$&quot;#,##0\)"/>
    <numFmt numFmtId="172" formatCode="&quot;$&quot;#,##0.00"/>
    <numFmt numFmtId="173" formatCode="&quot;$&quot;#,##0"/>
    <numFmt numFmtId="174" formatCode="yyyy-mm-dd"/>
    <numFmt numFmtId="175" formatCode="YYYY-MM-DD"/>
  </numFmts>
  <fonts count="39">
    <font>
      <name val="Calibri"/>
      <family val="2"/>
      <color theme="1"/>
      <sz val="11"/>
      <scheme val="minor"/>
    </font>
    <font>
      <name val="Calibri"/>
      <b val="1"/>
      <color rgb="001A2E3B"/>
      <sz val="22"/>
    </font>
    <font>
      <name val="Calibri"/>
      <b val="1"/>
      <color rgb="001A2E3B"/>
      <sz val="14"/>
    </font>
    <font>
      <name val="Calibri"/>
      <sz val="11"/>
    </font>
    <font>
      <name val="Calibri"/>
      <i val="1"/>
      <color rgb="004B4F54"/>
      <sz val="11"/>
    </font>
    <font>
      <name val="Calibri"/>
      <color rgb="004B4F54"/>
      <sz val="10"/>
    </font>
    <font>
      <name val="Calibri"/>
      <b val="1"/>
      <color rgb="00FFFFFF"/>
      <sz val="18"/>
    </font>
    <font>
      <name val="Calibri"/>
      <i val="1"/>
      <color rgb="004B4F54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i val="1"/>
      <color rgb="004B4F54"/>
      <sz val="9"/>
    </font>
    <font>
      <name val="Calibri"/>
      <i val="1"/>
      <sz val="10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1A2E3B"/>
      <sz val="12"/>
    </font>
    <font>
      <name val="Calibri"/>
      <b val="1"/>
      <color rgb="001A2E3B"/>
      <sz val="10"/>
    </font>
    <font>
      <name val="Calibri"/>
      <i val="1"/>
      <color rgb="004B4F54"/>
      <sz val="8"/>
    </font>
    <font>
      <name val="Calibri"/>
      <i val="1"/>
      <color rgb="00FFFFFF"/>
      <sz val="8"/>
    </font>
    <font>
      <name val="Calibri"/>
      <sz val="9"/>
    </font>
    <font>
      <name val="Calibri"/>
      <family val="2"/>
      <b val="1"/>
      <sz val="12"/>
    </font>
    <font>
      <name val="Aptos Narrow"/>
      <family val="2"/>
      <color indexed="8"/>
      <sz val="11"/>
      <scheme val="minor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1"/>
    </font>
    <font>
      <name val="Calibri"/>
      <family val="2"/>
      <color indexed="8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000000"/>
      <sz val="11"/>
    </font>
    <font>
      <name val="Calibri"/>
      <b val="1"/>
      <color rgb="001A2E3B"/>
      <sz val="18"/>
    </font>
    <font>
      <name val="Calibri"/>
      <b val="1"/>
      <sz val="12"/>
    </font>
    <font>
      <name val="Calibri"/>
      <b val="1"/>
      <color rgb="00C9AA7C"/>
      <sz val="16"/>
    </font>
    <font>
      <name val="Calibri"/>
      <color rgb="008A9AAA"/>
      <sz val="10"/>
    </font>
    <font>
      <name val="Calibri"/>
      <b val="1"/>
      <color rgb="00C9AA7C"/>
    </font>
    <font>
      <name val="Calibri"/>
      <b val="1"/>
      <color rgb="005A8BA7"/>
    </font>
    <font>
      <name val="Calibri"/>
      <color rgb="00E8E0D4"/>
    </font>
    <font>
      <name val="Calibri"/>
      <color rgb="00C9AA7C"/>
    </font>
    <font>
      <name val="Calibri"/>
      <b val="1"/>
      <color rgb="00E05050"/>
    </font>
    <font>
      <name val="Calibri"/>
      <color rgb="00E8E0D4"/>
      <sz val="10"/>
    </font>
  </fonts>
  <fills count="21">
    <fill>
      <patternFill/>
    </fill>
    <fill>
      <patternFill patternType="gray125"/>
    </fill>
    <fill>
      <patternFill patternType="solid">
        <fgColor rgb="001A2E3B"/>
      </patternFill>
    </fill>
    <fill>
      <patternFill patternType="solid">
        <fgColor rgb="005A8BA7"/>
      </patternFill>
    </fill>
    <fill>
      <patternFill patternType="solid">
        <fgColor rgb="004B4F54"/>
      </patternFill>
    </fill>
    <fill>
      <patternFill patternType="solid">
        <fgColor rgb="00E8E6E1"/>
      </patternFill>
    </fill>
    <fill>
      <patternFill patternType="solid">
        <fgColor rgb="00FFF3C4"/>
      </patternFill>
    </fill>
    <fill>
      <patternFill patternType="solid">
        <fgColor rgb="00C4A35A"/>
      </patternFill>
    </fill>
    <fill>
      <patternFill patternType="solid">
        <fgColor rgb="00E8F0F5"/>
      </patternFill>
    </fill>
    <fill>
      <patternFill patternType="solid">
        <fgColor rgb="00E5F3EA"/>
      </patternFill>
    </fill>
    <fill>
      <patternFill patternType="solid">
        <fgColor rgb="00F7F4EE"/>
      </patternFill>
    </fill>
    <fill>
      <patternFill patternType="solid">
        <fgColor rgb="00FFFFFF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2CC"/>
      </patternFill>
    </fill>
    <fill>
      <patternFill patternType="solid">
        <fgColor rgb="000F1923"/>
      </patternFill>
    </fill>
    <fill>
      <patternFill patternType="solid">
        <fgColor rgb="00162433"/>
      </patternFill>
    </fill>
    <fill>
      <patternFill patternType="solid">
        <fgColor rgb="000D1620"/>
      </patternFill>
    </fill>
  </fills>
  <borders count="33">
    <border>
      <left/>
      <right/>
      <top/>
      <bottom/>
      <diagonal/>
    </border>
    <border>
      <left style="thin">
        <color rgb="00D0CBBF"/>
      </left>
      <right style="thin">
        <color rgb="00D0CBBF"/>
      </right>
      <top style="thin">
        <color rgb="00D0CBBF"/>
      </top>
      <bottom style="thin">
        <color rgb="00D0CBBF"/>
      </bottom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/>
      <top/>
      <bottom style="double">
        <color auto="1"/>
      </bottom>
      <diagonal/>
    </border>
    <border>
      <left/>
      <right style="medium">
        <color indexed="64"/>
      </right>
      <top/>
      <bottom style="double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00D0CBBF"/>
      </top>
      <bottom/>
      <diagonal/>
    </border>
    <border>
      <left/>
      <right style="thin">
        <color rgb="00D0CBBF"/>
      </right>
      <top style="thin">
        <color rgb="00D0CBBF"/>
      </top>
      <bottom/>
      <diagonal/>
    </border>
    <border>
      <left/>
      <right style="thin">
        <color rgb="00D0CBBF"/>
      </right>
      <top style="thin">
        <color rgb="00D0CBBF"/>
      </top>
      <bottom style="thin">
        <color rgb="00D0CBBF"/>
      </bottom>
      <diagonal/>
    </border>
    <border>
      <left style="thin">
        <color rgb="003A5060"/>
      </left>
      <right style="thin">
        <color rgb="003A5060"/>
      </right>
      <top style="thin">
        <color rgb="003A5060"/>
      </top>
      <bottom style="thin">
        <color rgb="003A5060"/>
      </bottom>
    </border>
  </borders>
  <cellStyleXfs count="1">
    <xf numFmtId="0" fontId="0" fillId="0" borderId="0"/>
  </cellStyleXfs>
  <cellXfs count="3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/>
    </xf>
    <xf numFmtId="0" fontId="7" fillId="0" borderId="0" pivotButton="0" quotePrefix="0" xfId="0"/>
    <xf numFmtId="0" fontId="8" fillId="3" borderId="0" applyAlignment="1" pivotButton="0" quotePrefix="0" xfId="0">
      <alignment horizontal="center"/>
    </xf>
    <xf numFmtId="0" fontId="9" fillId="4" borderId="0" pivotButton="0" quotePrefix="0" xfId="0"/>
    <xf numFmtId="0" fontId="10" fillId="0" borderId="1" applyAlignment="1" pivotButton="0" quotePrefix="0" xfId="0">
      <alignment vertical="center" wrapText="1"/>
    </xf>
    <xf numFmtId="3" fontId="0" fillId="5" borderId="1" applyAlignment="1" pivotButton="0" quotePrefix="0" xfId="0">
      <alignment vertical="center" wrapText="1"/>
    </xf>
    <xf numFmtId="3" fontId="11" fillId="6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10" fillId="5" borderId="1" pivotButton="0" quotePrefix="0" xfId="0"/>
    <xf numFmtId="164" fontId="10" fillId="5" borderId="1" pivotButton="0" quotePrefix="0" xfId="0"/>
    <xf numFmtId="0" fontId="12" fillId="5" borderId="1" pivotButton="0" quotePrefix="0" xfId="0"/>
    <xf numFmtId="0" fontId="10" fillId="5" borderId="1" applyAlignment="1" pivotButton="0" quotePrefix="0" xfId="0">
      <alignment vertical="center" wrapText="1"/>
    </xf>
    <xf numFmtId="0" fontId="10" fillId="6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4" fontId="11" fillId="6" borderId="1" applyAlignment="1" pivotButton="0" quotePrefix="0" xfId="0">
      <alignment vertical="center" wrapText="1"/>
    </xf>
    <xf numFmtId="2" fontId="0" fillId="5" borderId="1" applyAlignment="1" pivotButton="0" quotePrefix="0" xfId="0">
      <alignment vertical="center" wrapText="1"/>
    </xf>
    <xf numFmtId="2" fontId="11" fillId="6" borderId="1" applyAlignment="1" pivotButton="0" quotePrefix="0" xfId="0">
      <alignment vertical="center" wrapText="1"/>
    </xf>
    <xf numFmtId="0" fontId="13" fillId="0" borderId="0" pivotButton="0" quotePrefix="0" xfId="0"/>
    <xf numFmtId="0" fontId="14" fillId="3" borderId="0" applyAlignment="1" pivotButton="0" quotePrefix="0" xfId="0">
      <alignment horizontal="center"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0" fontId="12" fillId="0" borderId="0" pivotButton="0" quotePrefix="0" xfId="0"/>
    <xf numFmtId="0" fontId="14" fillId="3" borderId="0" applyAlignment="1" pivotButton="0" quotePrefix="0" xfId="0">
      <alignment horizontal="center" wrapText="1"/>
    </xf>
    <xf numFmtId="0" fontId="8" fillId="2" borderId="0" pivotButton="0" quotePrefix="0" xfId="0"/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8" fontId="0" fillId="0" borderId="1" applyAlignment="1" pivotButton="0" quotePrefix="0" xfId="0">
      <alignment vertical="center" wrapText="1"/>
    </xf>
    <xf numFmtId="0" fontId="17" fillId="8" borderId="1" applyAlignment="1" pivotButton="0" quotePrefix="0" xfId="0">
      <alignment vertical="center" wrapText="1"/>
    </xf>
    <xf numFmtId="168" fontId="17" fillId="8" borderId="1" applyAlignment="1" pivotButton="0" quotePrefix="0" xfId="0">
      <alignment vertical="center" wrapText="1"/>
    </xf>
    <xf numFmtId="164" fontId="17" fillId="8" borderId="1" applyAlignment="1" pivotButton="0" quotePrefix="0" xfId="0">
      <alignment vertical="center" wrapText="1"/>
    </xf>
    <xf numFmtId="0" fontId="11" fillId="9" borderId="1" applyAlignment="1" pivotButton="0" quotePrefix="0" xfId="0">
      <alignment vertical="center" wrapText="1"/>
    </xf>
    <xf numFmtId="168" fontId="11" fillId="9" borderId="1" applyAlignment="1" pivotButton="0" quotePrefix="0" xfId="0">
      <alignment vertical="center" wrapText="1"/>
    </xf>
    <xf numFmtId="164" fontId="11" fillId="9" borderId="1" applyAlignment="1" pivotButton="0" quotePrefix="0" xfId="0">
      <alignment vertical="center" wrapText="1"/>
    </xf>
    <xf numFmtId="0" fontId="9" fillId="2" borderId="1" applyAlignment="1" pivotButton="0" quotePrefix="0" xfId="0">
      <alignment vertical="center" wrapText="1"/>
    </xf>
    <xf numFmtId="168" fontId="9" fillId="2" borderId="1" applyAlignment="1" pivotButton="0" quotePrefix="0" xfId="0">
      <alignment vertical="center" wrapText="1"/>
    </xf>
    <xf numFmtId="164" fontId="9" fillId="2" borderId="1" applyAlignment="1" pivotButton="0" quotePrefix="0" xfId="0">
      <alignment vertical="center" wrapText="1"/>
    </xf>
    <xf numFmtId="0" fontId="19" fillId="2" borderId="1" applyAlignment="1" pivotButton="0" quotePrefix="0" xfId="0">
      <alignment vertical="center" wrapText="1"/>
    </xf>
    <xf numFmtId="0" fontId="10" fillId="10" borderId="0" applyAlignment="1" pivotButton="0" quotePrefix="0" xfId="0">
      <alignment vertical="top" wrapText="1"/>
    </xf>
    <xf numFmtId="0" fontId="15" fillId="2" borderId="0" applyAlignment="1" pivotButton="0" quotePrefix="0" xfId="0">
      <alignment vertical="center"/>
    </xf>
    <xf numFmtId="0" fontId="16" fillId="0" borderId="0" pivotButton="0" quotePrefix="0" xfId="0"/>
    <xf numFmtId="0" fontId="14" fillId="4" borderId="0" applyAlignment="1" pivotButton="0" quotePrefix="0" xfId="0">
      <alignment horizontal="center" wrapText="1"/>
    </xf>
    <xf numFmtId="0" fontId="14" fillId="7" borderId="0" applyAlignment="1" pivotButton="0" quotePrefix="0" xfId="0">
      <alignment horizontal="center" wrapText="1"/>
    </xf>
    <xf numFmtId="0" fontId="10" fillId="0" borderId="0" pivotButton="0" quotePrefix="0" xfId="0"/>
    <xf numFmtId="169" fontId="0" fillId="0" borderId="0" pivotButton="0" quotePrefix="0" xfId="0"/>
    <xf numFmtId="0" fontId="17" fillId="8" borderId="0" pivotButton="0" quotePrefix="0" xfId="0"/>
    <xf numFmtId="168" fontId="11" fillId="8" borderId="0" pivotButton="0" quotePrefix="0" xfId="0"/>
    <xf numFmtId="168" fontId="0" fillId="0" borderId="0" pivotButton="0" quotePrefix="0" xfId="0"/>
    <xf numFmtId="168" fontId="8" fillId="2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6" fillId="2" borderId="0" pivotButton="0" quotePrefix="0" xfId="0"/>
    <xf numFmtId="0" fontId="8" fillId="3" borderId="0" pivotButton="0" quotePrefix="0" xfId="0"/>
    <xf numFmtId="0" fontId="11" fillId="10" borderId="1" applyAlignment="1" pivotButton="0" quotePrefix="0" xfId="0">
      <alignment vertical="center" wrapText="1"/>
    </xf>
    <xf numFmtId="0" fontId="20" fillId="10" borderId="1" applyAlignment="1" pivotButton="0" quotePrefix="0" xfId="0">
      <alignment vertical="center" wrapText="1"/>
    </xf>
    <xf numFmtId="0" fontId="11" fillId="11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21" fillId="12" borderId="2" applyAlignment="1" pivotButton="0" quotePrefix="0" xfId="0">
      <alignment horizontal="center"/>
    </xf>
    <xf numFmtId="0" fontId="22" fillId="0" borderId="3" pivotButton="0" quotePrefix="0" xfId="0"/>
    <xf numFmtId="0" fontId="22" fillId="0" borderId="4" pivotButton="0" quotePrefix="0" xfId="0"/>
    <xf numFmtId="0" fontId="21" fillId="12" borderId="5" applyAlignment="1" pivotButton="0" quotePrefix="0" xfId="0">
      <alignment horizontal="center"/>
    </xf>
    <xf numFmtId="0" fontId="22" fillId="0" borderId="6" pivotButton="0" quotePrefix="0" xfId="0"/>
    <xf numFmtId="0" fontId="23" fillId="12" borderId="7" applyAlignment="1" pivotButton="0" quotePrefix="0" xfId="0">
      <alignment horizontal="center" vertical="top" wrapText="1" readingOrder="1"/>
    </xf>
    <xf numFmtId="0" fontId="22" fillId="0" borderId="8" pivotButton="0" quotePrefix="0" xfId="0"/>
    <xf numFmtId="0" fontId="22" fillId="0" borderId="9" pivotButton="0" quotePrefix="0" xfId="0"/>
    <xf numFmtId="0" fontId="24" fillId="12" borderId="2" applyAlignment="1" pivotButton="0" quotePrefix="0" xfId="0">
      <alignment horizontal="center" vertical="top" wrapText="1" readingOrder="1"/>
    </xf>
    <xf numFmtId="14" fontId="25" fillId="0" borderId="2" applyAlignment="1" pivotButton="0" quotePrefix="0" xfId="0">
      <alignment horizontal="center"/>
    </xf>
    <xf numFmtId="14" fontId="25" fillId="12" borderId="2" applyAlignment="1" pivotButton="0" quotePrefix="0" xfId="0">
      <alignment horizontal="center"/>
    </xf>
    <xf numFmtId="0" fontId="25" fillId="12" borderId="10" pivotButton="0" quotePrefix="0" xfId="0"/>
    <xf numFmtId="0" fontId="25" fillId="12" borderId="6" pivotButton="0" quotePrefix="0" xfId="0"/>
    <xf numFmtId="0" fontId="25" fillId="0" borderId="5" applyAlignment="1" pivotButton="0" quotePrefix="0" xfId="0">
      <alignment horizontal="center"/>
    </xf>
    <xf numFmtId="0" fontId="25" fillId="12" borderId="5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2" borderId="11" applyAlignment="1" pivotButton="0" quotePrefix="0" xfId="0">
      <alignment horizontal="center"/>
    </xf>
    <xf numFmtId="0" fontId="24" fillId="12" borderId="9" applyAlignment="1" pivotButton="0" quotePrefix="0" xfId="0">
      <alignment horizontal="center"/>
    </xf>
    <xf numFmtId="0" fontId="24" fillId="0" borderId="11" applyAlignment="1" pivotButton="0" quotePrefix="0" xfId="0">
      <alignment horizontal="center" wrapText="1"/>
    </xf>
    <xf numFmtId="0" fontId="24" fillId="0" borderId="9" applyAlignment="1" pivotButton="0" quotePrefix="0" xfId="0">
      <alignment horizontal="center"/>
    </xf>
    <xf numFmtId="0" fontId="24" fillId="12" borderId="11" applyAlignment="1" pivotButton="0" quotePrefix="0" xfId="0">
      <alignment horizontal="center" wrapText="1"/>
    </xf>
    <xf numFmtId="0" fontId="24" fillId="0" borderId="0" applyAlignment="1" pivotButton="0" quotePrefix="0" xfId="0">
      <alignment horizontal="left" wrapText="1"/>
    </xf>
    <xf numFmtId="0" fontId="24" fillId="0" borderId="10" applyAlignment="1" pivotButton="0" quotePrefix="0" xfId="0">
      <alignment horizontal="left" wrapText="1"/>
    </xf>
    <xf numFmtId="0" fontId="24" fillId="0" borderId="6" applyAlignment="1" pivotButton="0" quotePrefix="0" xfId="0">
      <alignment horizontal="left" wrapText="1"/>
    </xf>
    <xf numFmtId="0" fontId="25" fillId="0" borderId="10" pivotButton="0" quotePrefix="0" xfId="0"/>
    <xf numFmtId="0" fontId="25" fillId="0" borderId="0" pivotButton="0" quotePrefix="0" xfId="0"/>
    <xf numFmtId="0" fontId="25" fillId="0" borderId="6" pivotButton="0" quotePrefix="0" xfId="0"/>
    <xf numFmtId="43" fontId="25" fillId="0" borderId="10" pivotButton="0" quotePrefix="0" xfId="0"/>
    <xf numFmtId="0" fontId="25" fillId="0" borderId="0" applyAlignment="1" pivotButton="0" quotePrefix="0" xfId="0">
      <alignment wrapText="1"/>
    </xf>
    <xf numFmtId="0" fontId="25" fillId="0" borderId="10" applyAlignment="1" pivotButton="0" quotePrefix="0" xfId="0">
      <alignment wrapText="1"/>
    </xf>
    <xf numFmtId="0" fontId="25" fillId="0" borderId="6" applyAlignment="1" pivotButton="0" quotePrefix="0" xfId="0">
      <alignment wrapText="1"/>
    </xf>
    <xf numFmtId="170" fontId="25" fillId="12" borderId="12" applyAlignment="1" pivotButton="0" quotePrefix="0" xfId="0">
      <alignment wrapText="1"/>
    </xf>
    <xf numFmtId="170" fontId="25" fillId="12" borderId="13" applyAlignment="1" pivotButton="0" quotePrefix="0" xfId="0">
      <alignment horizontal="left" wrapText="1"/>
    </xf>
    <xf numFmtId="170" fontId="25" fillId="12" borderId="14" applyAlignment="1" pivotButton="0" quotePrefix="0" xfId="0">
      <alignment wrapText="1"/>
    </xf>
    <xf numFmtId="170" fontId="25" fillId="12" borderId="13" pivotButton="0" quotePrefix="0" xfId="0"/>
    <xf numFmtId="170" fontId="25" fillId="13" borderId="14" applyAlignment="1" pivotButton="0" quotePrefix="0" xfId="0">
      <alignment wrapText="1"/>
    </xf>
    <xf numFmtId="170" fontId="24" fillId="14" borderId="0" applyAlignment="1" pivotButton="0" quotePrefix="0" xfId="0">
      <alignment horizontal="left" wrapText="1"/>
    </xf>
    <xf numFmtId="170" fontId="24" fillId="14" borderId="10" applyAlignment="1" pivotButton="0" quotePrefix="0" xfId="0">
      <alignment horizontal="left" wrapText="1"/>
    </xf>
    <xf numFmtId="170" fontId="24" fillId="14" borderId="6" applyAlignment="1" pivotButton="0" quotePrefix="0" xfId="0">
      <alignment horizontal="left" wrapText="1"/>
    </xf>
    <xf numFmtId="170" fontId="24" fillId="14" borderId="10" pivotButton="0" quotePrefix="0" xfId="0"/>
    <xf numFmtId="170" fontId="24" fillId="14" borderId="15" pivotButton="0" quotePrefix="0" xfId="0"/>
    <xf numFmtId="43" fontId="24" fillId="0" borderId="10" applyAlignment="1" pivotButton="0" quotePrefix="0" xfId="0">
      <alignment horizontal="left" wrapText="1"/>
    </xf>
    <xf numFmtId="43" fontId="24" fillId="0" borderId="10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left" indent="2"/>
    </xf>
    <xf numFmtId="0" fontId="25" fillId="0" borderId="10" applyAlignment="1" pivotButton="0" quotePrefix="0" xfId="0">
      <alignment horizontal="left" indent="2"/>
    </xf>
    <xf numFmtId="0" fontId="25" fillId="0" borderId="6" applyAlignment="1" pivotButton="0" quotePrefix="0" xfId="0">
      <alignment horizontal="left" indent="2"/>
    </xf>
    <xf numFmtId="43" fontId="25" fillId="0" borderId="10" applyAlignment="1" pivotButton="0" quotePrefix="0" xfId="0">
      <alignment vertical="center"/>
    </xf>
    <xf numFmtId="0" fontId="25" fillId="0" borderId="6" applyAlignment="1" pivotButton="0" quotePrefix="0" xfId="0">
      <alignment horizontal="right" vertical="center" indent="2"/>
    </xf>
    <xf numFmtId="0" fontId="25" fillId="0" borderId="10" applyAlignment="1" pivotButton="0" quotePrefix="0" xfId="0">
      <alignment horizontal="center"/>
    </xf>
    <xf numFmtId="0" fontId="25" fillId="0" borderId="6" applyAlignment="1" pivotButton="0" quotePrefix="0" xfId="0">
      <alignment horizontal="right" indent="2"/>
    </xf>
    <xf numFmtId="9" fontId="25" fillId="0" borderId="10" applyAlignment="1" pivotButton="0" quotePrefix="0" xfId="0">
      <alignment horizontal="center" vertical="center"/>
    </xf>
    <xf numFmtId="9" fontId="25" fillId="0" borderId="10" applyAlignment="1" pivotButton="0" quotePrefix="0" xfId="0">
      <alignment vertical="center"/>
    </xf>
    <xf numFmtId="10" fontId="25" fillId="0" borderId="6" pivotButton="0" quotePrefix="0" xfId="0"/>
    <xf numFmtId="9" fontId="25" fillId="0" borderId="6" applyAlignment="1" pivotButton="0" quotePrefix="0" xfId="0">
      <alignment horizontal="center"/>
    </xf>
    <xf numFmtId="10" fontId="25" fillId="0" borderId="6" applyAlignment="1" pivotButton="0" quotePrefix="0" xfId="0">
      <alignment horizontal="center"/>
    </xf>
    <xf numFmtId="2" fontId="25" fillId="0" borderId="10" applyAlignment="1" pivotButton="0" quotePrefix="0" xfId="0">
      <alignment horizontal="center" wrapText="1"/>
    </xf>
    <xf numFmtId="2" fontId="25" fillId="0" borderId="6" pivotButton="0" quotePrefix="0" xfId="0"/>
    <xf numFmtId="0" fontId="25" fillId="0" borderId="6" applyAlignment="1" pivotButton="0" quotePrefix="0" xfId="0">
      <alignment horizontal="center"/>
    </xf>
    <xf numFmtId="171" fontId="25" fillId="0" borderId="10" applyAlignment="1" pivotButton="0" quotePrefix="0" xfId="0">
      <alignment horizontal="center"/>
    </xf>
    <xf numFmtId="2" fontId="25" fillId="0" borderId="10" applyAlignment="1" pivotButton="0" quotePrefix="0" xfId="0">
      <alignment vertical="center"/>
    </xf>
    <xf numFmtId="170" fontId="25" fillId="0" borderId="6" applyAlignment="1" pivotButton="0" quotePrefix="0" xfId="0">
      <alignment horizontal="left" indent="2"/>
    </xf>
    <xf numFmtId="170" fontId="25" fillId="0" borderId="6" applyAlignment="1" pivotButton="0" quotePrefix="0" xfId="0">
      <alignment horizontal="center"/>
    </xf>
    <xf numFmtId="170" fontId="25" fillId="0" borderId="6" pivotButton="0" quotePrefix="0" xfId="0"/>
    <xf numFmtId="170" fontId="25" fillId="12" borderId="12" applyAlignment="1" pivotButton="0" quotePrefix="0" xfId="0">
      <alignment horizontal="left" wrapText="1"/>
    </xf>
    <xf numFmtId="170" fontId="25" fillId="12" borderId="14" applyAlignment="1" pivotButton="0" quotePrefix="0" xfId="0">
      <alignment horizontal="left" wrapText="1"/>
    </xf>
    <xf numFmtId="170" fontId="25" fillId="13" borderId="14" applyAlignment="1" pivotButton="0" quotePrefix="0" xfId="0">
      <alignment horizontal="left" wrapText="1"/>
    </xf>
    <xf numFmtId="170" fontId="24" fillId="14" borderId="16" applyAlignment="1" pivotButton="0" quotePrefix="0" xfId="0">
      <alignment horizontal="left" wrapText="1"/>
    </xf>
    <xf numFmtId="170" fontId="24" fillId="14" borderId="15" applyAlignment="1" pivotButton="0" quotePrefix="0" xfId="0">
      <alignment horizontal="left" wrapText="1"/>
    </xf>
    <xf numFmtId="170" fontId="24" fillId="14" borderId="17" applyAlignment="1" pivotButton="0" quotePrefix="0" xfId="0">
      <alignment horizontal="left" wrapText="1"/>
    </xf>
    <xf numFmtId="170" fontId="25" fillId="0" borderId="0" applyAlignment="1" pivotButton="0" quotePrefix="0" xfId="0">
      <alignment horizontal="left" wrapText="1" indent="2"/>
    </xf>
    <xf numFmtId="170" fontId="25" fillId="0" borderId="10" applyAlignment="1" pivotButton="0" quotePrefix="0" xfId="0">
      <alignment horizontal="left" wrapText="1"/>
    </xf>
    <xf numFmtId="170" fontId="25" fillId="0" borderId="6" applyAlignment="1" pivotButton="0" quotePrefix="0" xfId="0">
      <alignment horizontal="left" wrapText="1"/>
    </xf>
    <xf numFmtId="170" fontId="25" fillId="0" borderId="10" pivotButton="0" quotePrefix="0" xfId="0"/>
    <xf numFmtId="170" fontId="25" fillId="15" borderId="6" applyAlignment="1" pivotButton="0" quotePrefix="0" xfId="0">
      <alignment horizontal="left" wrapText="1"/>
    </xf>
    <xf numFmtId="170" fontId="24" fillId="13" borderId="6" applyAlignment="1" pivotButton="0" quotePrefix="0" xfId="0">
      <alignment horizontal="left" wrapText="1"/>
    </xf>
    <xf numFmtId="170" fontId="24" fillId="0" borderId="6" applyAlignment="1" pivotButton="0" quotePrefix="0" xfId="0">
      <alignment horizontal="left" wrapText="1"/>
    </xf>
    <xf numFmtId="170" fontId="25" fillId="0" borderId="12" applyAlignment="1" pivotButton="0" quotePrefix="0" xfId="0">
      <alignment horizontal="left" wrapText="1" indent="2"/>
    </xf>
    <xf numFmtId="170" fontId="25" fillId="0" borderId="13" applyAlignment="1" pivotButton="0" quotePrefix="0" xfId="0">
      <alignment horizontal="left" wrapText="1"/>
    </xf>
    <xf numFmtId="170" fontId="25" fillId="0" borderId="14" applyAlignment="1" pivotButton="0" quotePrefix="0" xfId="0">
      <alignment wrapText="1"/>
    </xf>
    <xf numFmtId="170" fontId="25" fillId="0" borderId="13" pivotButton="0" quotePrefix="0" xfId="0"/>
    <xf numFmtId="170" fontId="25" fillId="0" borderId="14" applyAlignment="1" pivotButton="0" quotePrefix="0" xfId="0">
      <alignment horizontal="left" wrapText="1"/>
    </xf>
    <xf numFmtId="170" fontId="25" fillId="15" borderId="14" applyAlignment="1" pivotButton="0" quotePrefix="0" xfId="0">
      <alignment horizontal="left" wrapText="1"/>
    </xf>
    <xf numFmtId="170" fontId="24" fillId="13" borderId="14" applyAlignment="1" pivotButton="0" quotePrefix="0" xfId="0">
      <alignment horizontal="left" wrapText="1"/>
    </xf>
    <xf numFmtId="170" fontId="24" fillId="0" borderId="14" applyAlignment="1" pivotButton="0" quotePrefix="0" xfId="0">
      <alignment horizontal="left" wrapText="1"/>
    </xf>
    <xf numFmtId="170" fontId="25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wrapText="1"/>
    </xf>
    <xf numFmtId="170" fontId="25" fillId="12" borderId="6" applyAlignment="1" pivotButton="0" quotePrefix="0" xfId="0">
      <alignment horizontal="left" wrapText="1"/>
    </xf>
    <xf numFmtId="170" fontId="25" fillId="12" borderId="6" applyAlignment="1" pivotButton="0" quotePrefix="0" xfId="0">
      <alignment wrapText="1"/>
    </xf>
    <xf numFmtId="170" fontId="24" fillId="14" borderId="18" applyAlignment="1" pivotButton="0" quotePrefix="0" xfId="0">
      <alignment horizontal="left" wrapText="1"/>
    </xf>
    <xf numFmtId="170" fontId="24" fillId="14" borderId="19" applyAlignment="1" pivotButton="0" quotePrefix="0" xfId="0">
      <alignment horizontal="left" wrapText="1"/>
    </xf>
    <xf numFmtId="170" fontId="24" fillId="14" borderId="18" pivotButton="0" quotePrefix="0" xfId="0"/>
    <xf numFmtId="170" fontId="24" fillId="14" borderId="20" pivotButton="0" quotePrefix="0" xfId="0"/>
    <xf numFmtId="0" fontId="25" fillId="0" borderId="0" applyAlignment="1" pivotButton="0" quotePrefix="0" xfId="0">
      <alignment horizontal="left" wrapText="1"/>
    </xf>
    <xf numFmtId="170" fontId="24" fillId="0" borderId="0" applyAlignment="1" pivotButton="0" quotePrefix="0" xfId="0">
      <alignment horizontal="left" wrapText="1" indent="2"/>
    </xf>
    <xf numFmtId="0" fontId="25" fillId="0" borderId="0" applyAlignment="1" pivotButton="0" quotePrefix="0" xfId="0">
      <alignment horizontal="left" wrapText="1" indent="1"/>
    </xf>
    <xf numFmtId="43" fontId="25" fillId="0" borderId="10" applyAlignment="1" pivotButton="0" quotePrefix="0" xfId="0">
      <alignment horizontal="left" wrapText="1"/>
    </xf>
    <xf numFmtId="0" fontId="25" fillId="0" borderId="12" applyAlignment="1" pivotButton="0" quotePrefix="0" xfId="0">
      <alignment horizontal="left" wrapText="1" indent="1"/>
    </xf>
    <xf numFmtId="43" fontId="25" fillId="0" borderId="13" applyAlignment="1" pivotButton="0" quotePrefix="0" xfId="0">
      <alignment horizontal="left" wrapText="1"/>
    </xf>
    <xf numFmtId="43" fontId="25" fillId="0" borderId="13" pivotButton="0" quotePrefix="0" xfId="0"/>
    <xf numFmtId="0" fontId="24" fillId="14" borderId="16" applyAlignment="1" pivotButton="0" quotePrefix="0" xfId="0">
      <alignment horizontal="left" wrapText="1"/>
    </xf>
    <xf numFmtId="43" fontId="24" fillId="14" borderId="21" applyAlignment="1" pivotButton="0" quotePrefix="0" xfId="0">
      <alignment horizontal="left" wrapText="1"/>
    </xf>
    <xf numFmtId="0" fontId="24" fillId="0" borderId="0" applyAlignment="1" pivotButton="0" quotePrefix="0" xfId="0">
      <alignment horizontal="right" wrapText="1"/>
    </xf>
    <xf numFmtId="9" fontId="24" fillId="0" borderId="6" applyAlignment="1" pivotButton="0" quotePrefix="0" xfId="0">
      <alignment horizontal="center" wrapText="1"/>
    </xf>
    <xf numFmtId="0" fontId="25" fillId="0" borderId="10" applyAlignment="1" pivotButton="0" quotePrefix="0" xfId="0">
      <alignment horizontal="left" wrapText="1"/>
    </xf>
    <xf numFmtId="0" fontId="25" fillId="0" borderId="12" applyAlignment="1" pivotButton="0" quotePrefix="0" xfId="0">
      <alignment horizontal="left" wrapText="1" indent="2"/>
    </xf>
    <xf numFmtId="0" fontId="25" fillId="0" borderId="13" applyAlignment="1" pivotButton="0" quotePrefix="0" xfId="0">
      <alignment horizontal="left" wrapText="1"/>
    </xf>
    <xf numFmtId="170" fontId="25" fillId="16" borderId="14" applyAlignment="1" pivotButton="0" quotePrefix="0" xfId="0">
      <alignment wrapText="1"/>
    </xf>
    <xf numFmtId="43" fontId="24" fillId="14" borderId="15" applyAlignment="1" pivotButton="0" quotePrefix="0" xfId="0">
      <alignment horizontal="left" wrapText="1"/>
    </xf>
    <xf numFmtId="0" fontId="25" fillId="0" borderId="6" applyAlignment="1" pivotButton="0" quotePrefix="0" xfId="0">
      <alignment horizontal="left" wrapText="1"/>
    </xf>
    <xf numFmtId="0" fontId="24" fillId="0" borderId="0" applyAlignment="1" pivotButton="0" quotePrefix="0" xfId="0">
      <alignment horizontal="left" wrapText="1" indent="2"/>
    </xf>
    <xf numFmtId="170" fontId="24" fillId="12" borderId="22" applyAlignment="1" pivotButton="0" quotePrefix="0" xfId="0">
      <alignment horizontal="left" wrapText="1"/>
    </xf>
    <xf numFmtId="170" fontId="24" fillId="12" borderId="23" pivotButton="0" quotePrefix="0" xfId="0"/>
    <xf numFmtId="170" fontId="24" fillId="12" borderId="24" applyAlignment="1" pivotButton="0" quotePrefix="0" xfId="0">
      <alignment horizontal="left" wrapText="1"/>
    </xf>
    <xf numFmtId="170" fontId="25" fillId="14" borderId="10" pivotButton="0" quotePrefix="0" xfId="0"/>
    <xf numFmtId="170" fontId="25" fillId="14" borderId="18" pivotButton="0" quotePrefix="0" xfId="0"/>
    <xf numFmtId="43" fontId="26" fillId="0" borderId="10" pivotButton="0" quotePrefix="0" xfId="0"/>
    <xf numFmtId="0" fontId="25" fillId="0" borderId="0" applyAlignment="1" pivotButton="0" quotePrefix="0" xfId="0">
      <alignment horizontal="left"/>
    </xf>
    <xf numFmtId="170" fontId="27" fillId="0" borderId="6" applyAlignment="1" pivotButton="0" quotePrefix="0" xfId="0">
      <alignment horizontal="left" wrapText="1"/>
    </xf>
    <xf numFmtId="0" fontId="28" fillId="0" borderId="0" applyAlignment="1" pivotButton="0" quotePrefix="0" xfId="0">
      <alignment horizontal="left" wrapText="1"/>
    </xf>
    <xf numFmtId="0" fontId="24" fillId="0" borderId="12" applyAlignment="1" pivotButton="0" quotePrefix="0" xfId="0">
      <alignment horizontal="left" wrapText="1"/>
    </xf>
    <xf numFmtId="170" fontId="24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horizontal="left" wrapText="1"/>
    </xf>
    <xf numFmtId="170" fontId="25" fillId="12" borderId="6" pivotButton="0" quotePrefix="0" xfId="0"/>
    <xf numFmtId="170" fontId="25" fillId="12" borderId="10" pivotButton="0" quotePrefix="0" xfId="0"/>
    <xf numFmtId="170" fontId="25" fillId="14" borderId="19" pivotButton="0" quotePrefix="0" xfId="0"/>
    <xf numFmtId="170" fontId="25" fillId="14" borderId="25" pivotButton="0" quotePrefix="0" xfId="0"/>
    <xf numFmtId="170" fontId="25" fillId="0" borderId="0" pivotButton="0" quotePrefix="0" xfId="0"/>
    <xf numFmtId="170" fontId="25" fillId="0" borderId="12" pivotButton="0" quotePrefix="0" xfId="0"/>
    <xf numFmtId="170" fontId="25" fillId="0" borderId="14" pivotButton="0" quotePrefix="0" xfId="0"/>
    <xf numFmtId="170" fontId="26" fillId="0" borderId="13" pivotButton="0" quotePrefix="0" xfId="0"/>
    <xf numFmtId="170" fontId="24" fillId="12" borderId="16" applyAlignment="1" pivotButton="0" quotePrefix="0" xfId="0">
      <alignment horizontal="left" wrapText="1"/>
    </xf>
    <xf numFmtId="170" fontId="24" fillId="12" borderId="15" applyAlignment="1" pivotButton="0" quotePrefix="0" xfId="0">
      <alignment horizontal="left" wrapText="1"/>
    </xf>
    <xf numFmtId="170" fontId="25" fillId="12" borderId="15" pivotButton="0" quotePrefix="0" xfId="0"/>
    <xf numFmtId="170" fontId="24" fillId="12" borderId="17" applyAlignment="1" pivotButton="0" quotePrefix="0" xfId="0">
      <alignment horizontal="left" wrapText="1"/>
    </xf>
    <xf numFmtId="170" fontId="24" fillId="0" borderId="0" applyAlignment="1" pivotButton="0" quotePrefix="0" xfId="0">
      <alignment horizontal="left" wrapText="1"/>
    </xf>
    <xf numFmtId="170" fontId="24" fillId="0" borderId="12" applyAlignment="1" pivotButton="0" quotePrefix="0" xfId="0">
      <alignment horizontal="left" wrapText="1"/>
    </xf>
    <xf numFmtId="170" fontId="24" fillId="12" borderId="6" applyAlignment="1" pivotButton="0" quotePrefix="0" xfId="0">
      <alignment horizontal="left" wrapText="1"/>
    </xf>
    <xf numFmtId="170" fontId="24" fillId="14" borderId="26" applyAlignment="1" pivotButton="0" quotePrefix="0" xfId="0">
      <alignment horizontal="left" wrapText="1"/>
    </xf>
    <xf numFmtId="170" fontId="24" fillId="14" borderId="27" applyAlignment="1" pivotButton="0" quotePrefix="0" xfId="0">
      <alignment horizontal="left" wrapText="1"/>
    </xf>
    <xf numFmtId="170" fontId="24" fillId="14" borderId="28" applyAlignment="1" pivotButton="0" quotePrefix="0" xfId="0">
      <alignment horizontal="left" wrapText="1"/>
    </xf>
    <xf numFmtId="170" fontId="24" fillId="0" borderId="10" applyAlignment="1" pivotButton="0" quotePrefix="0" xfId="0">
      <alignment horizontal="left" wrapText="1"/>
    </xf>
    <xf numFmtId="9" fontId="25" fillId="0" borderId="0" pivotButton="0" quotePrefix="0" xfId="0"/>
    <xf numFmtId="10" fontId="25" fillId="0" borderId="0" pivotButton="0" quotePrefix="0" xfId="0"/>
    <xf numFmtId="43" fontId="25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18" borderId="0" pivotButton="0" quotePrefix="0" xfId="0"/>
    <xf numFmtId="0" fontId="32" fillId="18" borderId="0" pivotButton="0" quotePrefix="0" xfId="0"/>
    <xf numFmtId="0" fontId="33" fillId="2" borderId="32" applyAlignment="1" pivotButton="0" quotePrefix="0" xfId="0">
      <alignment horizontal="left"/>
    </xf>
    <xf numFmtId="0" fontId="33" fillId="2" borderId="32" applyAlignment="1" pivotButton="0" quotePrefix="0" xfId="0">
      <alignment horizontal="center"/>
    </xf>
    <xf numFmtId="0" fontId="34" fillId="19" borderId="32" pivotButton="0" quotePrefix="0" xfId="0"/>
    <xf numFmtId="0" fontId="35" fillId="19" borderId="32" pivotButton="0" quotePrefix="0" xfId="0"/>
    <xf numFmtId="0" fontId="33" fillId="20" borderId="32" pivotButton="0" quotePrefix="0" xfId="0"/>
    <xf numFmtId="1" fontId="35" fillId="19" borderId="32" pivotButton="0" quotePrefix="0" xfId="0"/>
    <xf numFmtId="1" fontId="33" fillId="20" borderId="32" pivotButton="0" quotePrefix="0" xfId="0"/>
    <xf numFmtId="164" fontId="35" fillId="19" borderId="32" pivotButton="0" quotePrefix="0" xfId="0"/>
    <xf numFmtId="164" fontId="33" fillId="20" borderId="32" pivotButton="0" quotePrefix="0" xfId="0"/>
    <xf numFmtId="172" fontId="35" fillId="19" borderId="32" pivotButton="0" quotePrefix="0" xfId="0"/>
    <xf numFmtId="172" fontId="33" fillId="20" borderId="32" pivotButton="0" quotePrefix="0" xfId="0"/>
    <xf numFmtId="169" fontId="35" fillId="19" borderId="32" pivotButton="0" quotePrefix="0" xfId="0"/>
    <xf numFmtId="169" fontId="33" fillId="20" borderId="32" pivotButton="0" quotePrefix="0" xfId="0"/>
    <xf numFmtId="173" fontId="35" fillId="19" borderId="32" pivotButton="0" quotePrefix="0" xfId="0"/>
    <xf numFmtId="173" fontId="33" fillId="20" borderId="32" pivotButton="0" quotePrefix="0" xfId="0"/>
    <xf numFmtId="0" fontId="33" fillId="19" borderId="32" pivotButton="0" quotePrefix="0" xfId="0"/>
    <xf numFmtId="173" fontId="36" fillId="20" borderId="32" pivotButton="0" quotePrefix="0" xfId="0"/>
    <xf numFmtId="0" fontId="34" fillId="20" borderId="32" pivotButton="0" quotePrefix="0" xfId="0"/>
    <xf numFmtId="0" fontId="37" fillId="19" borderId="0" pivotButton="0" quotePrefix="0" xfId="0"/>
    <xf numFmtId="173" fontId="0" fillId="19" borderId="0" pivotButton="0" quotePrefix="0" xfId="0"/>
    <xf numFmtId="0" fontId="33" fillId="19" borderId="0" pivotButton="0" quotePrefix="0" xfId="0"/>
    <xf numFmtId="0" fontId="33" fillId="0" borderId="0" pivotButton="0" quotePrefix="0" xfId="0"/>
    <xf numFmtId="0" fontId="38" fillId="18" borderId="0" pivotButton="0" quotePrefix="0" xfId="0"/>
    <xf numFmtId="0" fontId="33" fillId="2" borderId="32" applyAlignment="1" pivotButton="0" quotePrefix="0" xfId="0">
      <alignment horizontal="center" wrapText="1"/>
    </xf>
    <xf numFmtId="175" fontId="35" fillId="19" borderId="32" pivotButton="0" quotePrefix="0" xfId="0"/>
    <xf numFmtId="0" fontId="36" fillId="20" borderId="32" pivotButton="0" quotePrefix="0" xfId="0"/>
    <xf numFmtId="175" fontId="36" fillId="20" borderId="32" pivotButton="0" quotePrefix="0" xfId="0"/>
    <xf numFmtId="170" fontId="25" fillId="12" borderId="12" applyAlignment="1" pivotButton="0" quotePrefix="0" xfId="0">
      <alignment wrapText="1"/>
    </xf>
    <xf numFmtId="170" fontId="25" fillId="12" borderId="13" applyAlignment="1" pivotButton="0" quotePrefix="0" xfId="0">
      <alignment horizontal="left" wrapText="1"/>
    </xf>
    <xf numFmtId="170" fontId="25" fillId="12" borderId="14" applyAlignment="1" pivotButton="0" quotePrefix="0" xfId="0">
      <alignment wrapText="1"/>
    </xf>
    <xf numFmtId="170" fontId="25" fillId="17" borderId="13" pivotButton="0" quotePrefix="0" xfId="0"/>
    <xf numFmtId="170" fontId="25" fillId="13" borderId="14" applyAlignment="1" pivotButton="0" quotePrefix="0" xfId="0">
      <alignment wrapText="1"/>
    </xf>
    <xf numFmtId="170" fontId="24" fillId="14" borderId="0" applyAlignment="1" pivotButton="0" quotePrefix="0" xfId="0">
      <alignment horizontal="left" wrapText="1"/>
    </xf>
    <xf numFmtId="170" fontId="24" fillId="14" borderId="10" applyAlignment="1" pivotButton="0" quotePrefix="0" xfId="0">
      <alignment horizontal="left" wrapText="1"/>
    </xf>
    <xf numFmtId="170" fontId="24" fillId="14" borderId="6" applyAlignment="1" pivotButton="0" quotePrefix="0" xfId="0">
      <alignment horizontal="left" wrapText="1"/>
    </xf>
    <xf numFmtId="170" fontId="24" fillId="14" borderId="10" pivotButton="0" quotePrefix="0" xfId="0"/>
    <xf numFmtId="170" fontId="24" fillId="14" borderId="15" pivotButton="0" quotePrefix="0" xfId="0"/>
    <xf numFmtId="43" fontId="25" fillId="17" borderId="10" applyAlignment="1" pivotButton="0" quotePrefix="0" xfId="0">
      <alignment vertical="center"/>
    </xf>
    <xf numFmtId="9" fontId="25" fillId="17" borderId="10" applyAlignment="1" pivotButton="0" quotePrefix="0" xfId="0">
      <alignment vertical="center"/>
    </xf>
    <xf numFmtId="171" fontId="25" fillId="0" borderId="10" applyAlignment="1" pivotButton="0" quotePrefix="0" xfId="0">
      <alignment horizontal="center"/>
    </xf>
    <xf numFmtId="2" fontId="25" fillId="17" borderId="10" applyAlignment="1" pivotButton="0" quotePrefix="0" xfId="0">
      <alignment vertical="center"/>
    </xf>
    <xf numFmtId="170" fontId="25" fillId="0" borderId="6" applyAlignment="1" pivotButton="0" quotePrefix="0" xfId="0">
      <alignment horizontal="left" indent="2"/>
    </xf>
    <xf numFmtId="170" fontId="25" fillId="0" borderId="6" applyAlignment="1" pivotButton="0" quotePrefix="0" xfId="0">
      <alignment horizontal="center"/>
    </xf>
    <xf numFmtId="170" fontId="25" fillId="0" borderId="6" pivotButton="0" quotePrefix="0" xfId="0"/>
    <xf numFmtId="170" fontId="25" fillId="12" borderId="12" applyAlignment="1" pivotButton="0" quotePrefix="0" xfId="0">
      <alignment horizontal="left" wrapText="1"/>
    </xf>
    <xf numFmtId="170" fontId="25" fillId="12" borderId="13" pivotButton="0" quotePrefix="0" xfId="0"/>
    <xf numFmtId="170" fontId="25" fillId="12" borderId="14" applyAlignment="1" pivotButton="0" quotePrefix="0" xfId="0">
      <alignment horizontal="left" wrapText="1"/>
    </xf>
    <xf numFmtId="170" fontId="25" fillId="13" borderId="14" applyAlignment="1" pivotButton="0" quotePrefix="0" xfId="0">
      <alignment horizontal="left" wrapText="1"/>
    </xf>
    <xf numFmtId="170" fontId="24" fillId="14" borderId="16" applyAlignment="1" pivotButton="0" quotePrefix="0" xfId="0">
      <alignment horizontal="left" wrapText="1"/>
    </xf>
    <xf numFmtId="170" fontId="24" fillId="14" borderId="15" applyAlignment="1" pivotButton="0" quotePrefix="0" xfId="0">
      <alignment horizontal="left" wrapText="1"/>
    </xf>
    <xf numFmtId="170" fontId="24" fillId="14" borderId="17" applyAlignment="1" pivotButton="0" quotePrefix="0" xfId="0">
      <alignment horizontal="left" wrapText="1"/>
    </xf>
    <xf numFmtId="170" fontId="25" fillId="0" borderId="0" applyAlignment="1" pivotButton="0" quotePrefix="0" xfId="0">
      <alignment horizontal="left" wrapText="1" indent="2"/>
    </xf>
    <xf numFmtId="170" fontId="25" fillId="0" borderId="10" applyAlignment="1" pivotButton="0" quotePrefix="0" xfId="0">
      <alignment horizontal="left" wrapText="1"/>
    </xf>
    <xf numFmtId="170" fontId="25" fillId="0" borderId="6" applyAlignment="1" pivotButton="0" quotePrefix="0" xfId="0">
      <alignment horizontal="left" wrapText="1"/>
    </xf>
    <xf numFmtId="170" fontId="25" fillId="17" borderId="10" pivotButton="0" quotePrefix="0" xfId="0"/>
    <xf numFmtId="170" fontId="25" fillId="15" borderId="6" applyAlignment="1" pivotButton="0" quotePrefix="0" xfId="0">
      <alignment horizontal="left" wrapText="1"/>
    </xf>
    <xf numFmtId="170" fontId="24" fillId="13" borderId="6" applyAlignment="1" pivotButton="0" quotePrefix="0" xfId="0">
      <alignment horizontal="left" wrapText="1"/>
    </xf>
    <xf numFmtId="170" fontId="24" fillId="0" borderId="6" applyAlignment="1" pivotButton="0" quotePrefix="0" xfId="0">
      <alignment horizontal="left" wrapText="1"/>
    </xf>
    <xf numFmtId="170" fontId="25" fillId="0" borderId="12" applyAlignment="1" pivotButton="0" quotePrefix="0" xfId="0">
      <alignment horizontal="left" wrapText="1" indent="2"/>
    </xf>
    <xf numFmtId="170" fontId="25" fillId="0" borderId="13" applyAlignment="1" pivotButton="0" quotePrefix="0" xfId="0">
      <alignment horizontal="left" wrapText="1"/>
    </xf>
    <xf numFmtId="170" fontId="25" fillId="0" borderId="14" applyAlignment="1" pivotButton="0" quotePrefix="0" xfId="0">
      <alignment wrapText="1"/>
    </xf>
    <xf numFmtId="170" fontId="25" fillId="0" borderId="14" applyAlignment="1" pivotButton="0" quotePrefix="0" xfId="0">
      <alignment horizontal="left" wrapText="1"/>
    </xf>
    <xf numFmtId="170" fontId="25" fillId="15" borderId="14" applyAlignment="1" pivotButton="0" quotePrefix="0" xfId="0">
      <alignment horizontal="left" wrapText="1"/>
    </xf>
    <xf numFmtId="170" fontId="24" fillId="13" borderId="14" applyAlignment="1" pivotButton="0" quotePrefix="0" xfId="0">
      <alignment horizontal="left" wrapText="1"/>
    </xf>
    <xf numFmtId="170" fontId="24" fillId="0" borderId="14" applyAlignment="1" pivotButton="0" quotePrefix="0" xfId="0">
      <alignment horizontal="left" wrapText="1"/>
    </xf>
    <xf numFmtId="170" fontId="25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wrapText="1"/>
    </xf>
    <xf numFmtId="170" fontId="25" fillId="12" borderId="6" applyAlignment="1" pivotButton="0" quotePrefix="0" xfId="0">
      <alignment horizontal="left" wrapText="1"/>
    </xf>
    <xf numFmtId="170" fontId="25" fillId="12" borderId="6" applyAlignment="1" pivotButton="0" quotePrefix="0" xfId="0">
      <alignment wrapText="1"/>
    </xf>
    <xf numFmtId="170" fontId="24" fillId="14" borderId="18" applyAlignment="1" pivotButton="0" quotePrefix="0" xfId="0">
      <alignment horizontal="left" wrapText="1"/>
    </xf>
    <xf numFmtId="170" fontId="24" fillId="14" borderId="19" applyAlignment="1" pivotButton="0" quotePrefix="0" xfId="0">
      <alignment horizontal="left" wrapText="1"/>
    </xf>
    <xf numFmtId="170" fontId="24" fillId="14" borderId="18" pivotButton="0" quotePrefix="0" xfId="0"/>
    <xf numFmtId="170" fontId="24" fillId="14" borderId="20" pivotButton="0" quotePrefix="0" xfId="0"/>
    <xf numFmtId="170" fontId="24" fillId="0" borderId="0" applyAlignment="1" pivotButton="0" quotePrefix="0" xfId="0">
      <alignment horizontal="left" wrapText="1" indent="2"/>
    </xf>
    <xf numFmtId="170" fontId="25" fillId="0" borderId="10" pivotButton="0" quotePrefix="0" xfId="0"/>
    <xf numFmtId="170" fontId="25" fillId="16" borderId="14" applyAlignment="1" pivotButton="0" quotePrefix="0" xfId="0">
      <alignment wrapText="1"/>
    </xf>
    <xf numFmtId="43" fontId="25" fillId="17" borderId="10" pivotButton="0" quotePrefix="0" xfId="0"/>
    <xf numFmtId="170" fontId="24" fillId="12" borderId="22" applyAlignment="1" pivotButton="0" quotePrefix="0" xfId="0">
      <alignment horizontal="left" wrapText="1"/>
    </xf>
    <xf numFmtId="170" fontId="24" fillId="12" borderId="23" pivotButton="0" quotePrefix="0" xfId="0"/>
    <xf numFmtId="170" fontId="24" fillId="12" borderId="24" applyAlignment="1" pivotButton="0" quotePrefix="0" xfId="0">
      <alignment horizontal="left" wrapText="1"/>
    </xf>
    <xf numFmtId="170" fontId="25" fillId="14" borderId="10" pivotButton="0" quotePrefix="0" xfId="0"/>
    <xf numFmtId="170" fontId="25" fillId="14" borderId="18" pivotButton="0" quotePrefix="0" xfId="0"/>
    <xf numFmtId="170" fontId="27" fillId="0" borderId="6" applyAlignment="1" pivotButton="0" quotePrefix="0" xfId="0">
      <alignment horizontal="left" wrapText="1"/>
    </xf>
    <xf numFmtId="170" fontId="24" fillId="12" borderId="0" applyAlignment="1" pivotButton="0" quotePrefix="0" xfId="0">
      <alignment horizontal="left" wrapText="1"/>
    </xf>
    <xf numFmtId="170" fontId="25" fillId="12" borderId="10" applyAlignment="1" pivotButton="0" quotePrefix="0" xfId="0">
      <alignment horizontal="left" wrapText="1"/>
    </xf>
    <xf numFmtId="170" fontId="25" fillId="12" borderId="6" pivotButton="0" quotePrefix="0" xfId="0"/>
    <xf numFmtId="170" fontId="25" fillId="12" borderId="10" pivotButton="0" quotePrefix="0" xfId="0"/>
    <xf numFmtId="170" fontId="25" fillId="14" borderId="19" pivotButton="0" quotePrefix="0" xfId="0"/>
    <xf numFmtId="170" fontId="25" fillId="14" borderId="25" pivotButton="0" quotePrefix="0" xfId="0"/>
    <xf numFmtId="170" fontId="25" fillId="0" borderId="0" pivotButton="0" quotePrefix="0" xfId="0"/>
    <xf numFmtId="170" fontId="25" fillId="0" borderId="12" pivotButton="0" quotePrefix="0" xfId="0"/>
    <xf numFmtId="170" fontId="25" fillId="0" borderId="13" pivotButton="0" quotePrefix="0" xfId="0"/>
    <xf numFmtId="170" fontId="25" fillId="0" borderId="14" pivotButton="0" quotePrefix="0" xfId="0"/>
    <xf numFmtId="170" fontId="26" fillId="0" borderId="13" pivotButton="0" quotePrefix="0" xfId="0"/>
    <xf numFmtId="170" fontId="24" fillId="12" borderId="16" applyAlignment="1" pivotButton="0" quotePrefix="0" xfId="0">
      <alignment horizontal="left" wrapText="1"/>
    </xf>
    <xf numFmtId="170" fontId="24" fillId="12" borderId="15" applyAlignment="1" pivotButton="0" quotePrefix="0" xfId="0">
      <alignment horizontal="left" wrapText="1"/>
    </xf>
    <xf numFmtId="170" fontId="25" fillId="12" borderId="15" pivotButton="0" quotePrefix="0" xfId="0"/>
    <xf numFmtId="170" fontId="24" fillId="12" borderId="17" applyAlignment="1" pivotButton="0" quotePrefix="0" xfId="0">
      <alignment horizontal="left" wrapText="1"/>
    </xf>
    <xf numFmtId="170" fontId="24" fillId="0" borderId="0" applyAlignment="1" pivotButton="0" quotePrefix="0" xfId="0">
      <alignment horizontal="left" wrapText="1"/>
    </xf>
    <xf numFmtId="170" fontId="24" fillId="0" borderId="12" applyAlignment="1" pivotButton="0" quotePrefix="0" xfId="0">
      <alignment horizontal="left" wrapText="1"/>
    </xf>
    <xf numFmtId="170" fontId="24" fillId="12" borderId="6" applyAlignment="1" pivotButton="0" quotePrefix="0" xfId="0">
      <alignment horizontal="left" wrapText="1"/>
    </xf>
    <xf numFmtId="170" fontId="24" fillId="14" borderId="26" applyAlignment="1" pivotButton="0" quotePrefix="0" xfId="0">
      <alignment horizontal="left" wrapText="1"/>
    </xf>
    <xf numFmtId="170" fontId="24" fillId="14" borderId="27" applyAlignment="1" pivotButton="0" quotePrefix="0" xfId="0">
      <alignment horizontal="left" wrapText="1"/>
    </xf>
    <xf numFmtId="170" fontId="24" fillId="14" borderId="28" applyAlignment="1" pivotButton="0" quotePrefix="0" xfId="0">
      <alignment horizontal="left" wrapText="1"/>
    </xf>
    <xf numFmtId="170" fontId="24" fillId="0" borderId="1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MC</author>
  </authors>
  <commentList>
    <comment ref="A10" authorId="0" shapeId="0">
      <text>
        <t>$40,000 per quarter, even across the periods in that quarter (P1–P3 / P4–P6 / P7–P9 / P10–P13). Year $160,000. Kim 26 Sep 2026.</t>
      </text>
    </comment>
    <comment ref="A16" authorId="0" shapeId="0">
      <text>
        <t>2027 rec: 2026 actual occ × 1.10, cap 85%. Not 2025+10%.</t>
      </text>
    </comment>
    <comment ref="A32" authorId="0" shapeId="0">
      <text>
        <t>Food 32% of restaurant + events. Hotel rooms out.</t>
      </text>
    </comment>
    <comment ref="A52" authorId="0" shapeId="0">
      <text>
        <t>F&amp;B labor 33% of restaurant+events PLUS hotel labor 46.4% of rooms. Prime 65% is F&amp;B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15" t="inlineStr">
        <is>
          <t>UHG 2027 operating budget</t>
        </is>
      </c>
    </row>
    <row r="3">
      <c r="A3" t="inlineStr">
        <is>
          <t>This file is your 36-key COMPANY INCOME STATEMENT layout (the workbook you sent). Yellow cells on 2027 Operating Budget are the freeze. Actual columns blank on purpose.</t>
        </is>
      </c>
    </row>
    <row r="5">
      <c r="A5" s="216" t="inlineStr">
        <is>
          <t>Events</t>
        </is>
      </c>
    </row>
    <row r="6">
      <c r="A6" t="inlineStr">
        <is>
          <t>Was a lumpy $159k (mostly P6–P10). Now $40,000 each quarter: P1–P3, P4–P6, P7–P9, P10–P13 ($10,000 a period in Q4). Year $160,000.</t>
        </is>
      </c>
    </row>
    <row r="8">
      <c r="A8" s="216" t="inlineStr">
        <is>
          <t>What else is locked</t>
        </is>
      </c>
    </row>
    <row r="9">
      <c r="A9" t="inlineStr">
        <is>
          <t>Occupancy and ADR are 2026 actual × 1.10 / 1.05. Food 32% of F&amp;B+events. Labor 33% of F&amp;B+events plus 46.4% of rooms. 1887 × 1.05. FP and SOCC hold. Overhead lines are your 2026 file.</t>
        </is>
      </c>
    </row>
    <row r="11">
      <c r="A11" t="inlineStr">
        <is>
          <t>Tabs: Read Me 2027 · 2027 Drivers · Weekly F&amp;B labor 33% · 2027 Operating Budget (your P&amp;L, yellow = drivers).</t>
        </is>
      </c>
    </row>
    <row r="13">
      <c r="A13" t="inlineStr">
        <is>
          <t>NOI at 46% hotel labor is about break-even. NOI at 30% hotel labor is about $192k. Overhead is the 2026 file.</t>
        </is>
      </c>
    </row>
    <row r="15">
      <c r="A15" t="inlineStr">
        <is>
          <t>Live page: https://offers.hotelstcloud.com/assets/uhg-2027-budget</t>
        </is>
      </c>
    </row>
    <row r="16">
      <c r="A16" t="inlineStr">
        <is>
          <t>Built by MC · 26 Sep 2026 rec · restored 13 Oct 2026 into your original sheet · 36 keys, not the 70k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A7C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2" customHeight="1">
      <c r="A1" s="217" t="inlineStr">
        <is>
          <t>UHG 2027 DRIVERS  ·  FROZEN 26 Sep 2026  ·  events $40k / quarter</t>
        </is>
      </c>
    </row>
    <row r="2" ht="36" customHeight="1">
      <c r="A2" s="218" t="inlineStr">
        <is>
          <t>36 keys. Occ = 2026 actual × 1.10 (cap 85%). ADR = 2026 actual × 1.05. Events flat $40,000 a quarter, even inside the quarter. Prime 65% of F&amp;B, hotel out.</t>
        </is>
      </c>
    </row>
    <row r="4">
      <c r="A4" s="219" t="inlineStr">
        <is>
          <t>Line</t>
        </is>
      </c>
      <c r="B4" s="220" t="inlineStr">
        <is>
          <t>P1</t>
        </is>
      </c>
      <c r="C4" s="220" t="inlineStr">
        <is>
          <t>P2</t>
        </is>
      </c>
      <c r="D4" s="220" t="inlineStr">
        <is>
          <t>P3</t>
        </is>
      </c>
      <c r="E4" s="220" t="inlineStr">
        <is>
          <t>P4</t>
        </is>
      </c>
      <c r="F4" s="220" t="inlineStr">
        <is>
          <t>P5</t>
        </is>
      </c>
      <c r="G4" s="220" t="inlineStr">
        <is>
          <t>P6</t>
        </is>
      </c>
      <c r="H4" s="220" t="inlineStr">
        <is>
          <t>P7</t>
        </is>
      </c>
      <c r="I4" s="220" t="inlineStr">
        <is>
          <t>P8</t>
        </is>
      </c>
      <c r="J4" s="220" t="inlineStr">
        <is>
          <t>P9</t>
        </is>
      </c>
      <c r="K4" s="220" t="inlineStr">
        <is>
          <t>P10</t>
        </is>
      </c>
      <c r="L4" s="220" t="inlineStr">
        <is>
          <t>P11</t>
        </is>
      </c>
      <c r="M4" s="220" t="inlineStr">
        <is>
          <t>P12</t>
        </is>
      </c>
      <c r="N4" s="220" t="inlineStr">
        <is>
          <t>P13</t>
        </is>
      </c>
      <c r="O4" s="220" t="inlineStr">
        <is>
          <t>Year</t>
        </is>
      </c>
    </row>
    <row r="5">
      <c r="A5" s="221" t="inlineStr">
        <is>
          <t>Period end</t>
        </is>
      </c>
      <c r="B5" s="222" t="inlineStr">
        <is>
          <t>2027-01-24</t>
        </is>
      </c>
      <c r="C5" s="222" t="inlineStr">
        <is>
          <t>2027-02-21</t>
        </is>
      </c>
      <c r="D5" s="222" t="inlineStr">
        <is>
          <t>2027-03-21</t>
        </is>
      </c>
      <c r="E5" s="222" t="inlineStr">
        <is>
          <t>2027-04-18</t>
        </is>
      </c>
      <c r="F5" s="222" t="inlineStr">
        <is>
          <t>2027-05-16</t>
        </is>
      </c>
      <c r="G5" s="222" t="inlineStr">
        <is>
          <t>2027-06-13</t>
        </is>
      </c>
      <c r="H5" s="222" t="inlineStr">
        <is>
          <t>2027-07-11</t>
        </is>
      </c>
      <c r="I5" s="222" t="inlineStr">
        <is>
          <t>2027-08-08</t>
        </is>
      </c>
      <c r="J5" s="222" t="inlineStr">
        <is>
          <t>2027-09-05</t>
        </is>
      </c>
      <c r="K5" s="222" t="inlineStr">
        <is>
          <t>2027-10-03</t>
        </is>
      </c>
      <c r="L5" s="222" t="inlineStr">
        <is>
          <t>2027-10-31</t>
        </is>
      </c>
      <c r="M5" s="222" t="inlineStr">
        <is>
          <t>2027-11-28</t>
        </is>
      </c>
      <c r="N5" s="222" t="inlineStr">
        <is>
          <t>2027-12-26</t>
        </is>
      </c>
      <c r="O5" s="223" t="inlineStr"/>
    </row>
    <row r="6">
      <c r="A6" s="221" t="inlineStr">
        <is>
          <t>Keys</t>
        </is>
      </c>
      <c r="B6" s="224" t="n">
        <v>36</v>
      </c>
      <c r="C6" s="224" t="n">
        <v>36</v>
      </c>
      <c r="D6" s="224" t="n">
        <v>36</v>
      </c>
      <c r="E6" s="224" t="n">
        <v>36</v>
      </c>
      <c r="F6" s="224" t="n">
        <v>36</v>
      </c>
      <c r="G6" s="224" t="n">
        <v>36</v>
      </c>
      <c r="H6" s="224" t="n">
        <v>36</v>
      </c>
      <c r="I6" s="224" t="n">
        <v>36</v>
      </c>
      <c r="J6" s="224" t="n">
        <v>36</v>
      </c>
      <c r="K6" s="224" t="n">
        <v>36</v>
      </c>
      <c r="L6" s="224" t="n">
        <v>36</v>
      </c>
      <c r="M6" s="224" t="n">
        <v>36</v>
      </c>
      <c r="N6" s="224" t="n">
        <v>36</v>
      </c>
      <c r="O6" s="225" t="n">
        <v>36</v>
      </c>
    </row>
    <row r="7">
      <c r="A7" s="221" t="inlineStr">
        <is>
          <t>Days</t>
        </is>
      </c>
      <c r="B7" s="224" t="n">
        <v>28</v>
      </c>
      <c r="C7" s="224" t="n">
        <v>28</v>
      </c>
      <c r="D7" s="224" t="n">
        <v>28</v>
      </c>
      <c r="E7" s="224" t="n">
        <v>28</v>
      </c>
      <c r="F7" s="224" t="n">
        <v>28</v>
      </c>
      <c r="G7" s="224" t="n">
        <v>28</v>
      </c>
      <c r="H7" s="224" t="n">
        <v>28</v>
      </c>
      <c r="I7" s="224" t="n">
        <v>28</v>
      </c>
      <c r="J7" s="224" t="n">
        <v>28</v>
      </c>
      <c r="K7" s="224" t="n">
        <v>28</v>
      </c>
      <c r="L7" s="224" t="n">
        <v>28</v>
      </c>
      <c r="M7" s="224" t="n">
        <v>28</v>
      </c>
      <c r="N7" s="224" t="n">
        <v>28</v>
      </c>
      <c r="O7" s="225" t="n">
        <v>364</v>
      </c>
    </row>
    <row r="8">
      <c r="A8" s="221" t="inlineStr">
        <is>
          <t>Occupancy</t>
        </is>
      </c>
      <c r="B8" s="226" t="n">
        <v>0.217</v>
      </c>
      <c r="C8" s="226" t="n">
        <v>0.299</v>
      </c>
      <c r="D8" s="226" t="n">
        <v>0.287</v>
      </c>
      <c r="E8" s="226" t="n">
        <v>0.399</v>
      </c>
      <c r="F8" s="226" t="n">
        <v>0.387</v>
      </c>
      <c r="G8" s="226" t="n">
        <v>0.551</v>
      </c>
      <c r="H8" s="226" t="n">
        <v>0.633</v>
      </c>
      <c r="I8" s="226" t="n">
        <v>0.6940000000000001</v>
      </c>
      <c r="J8" s="226" t="n">
        <v>0.594</v>
      </c>
      <c r="K8" s="226" t="n">
        <v>0.6820000000000001</v>
      </c>
      <c r="L8" s="226" t="n">
        <v>0.636</v>
      </c>
      <c r="M8" s="226" t="n">
        <v>0.297</v>
      </c>
      <c r="N8" s="226" t="n">
        <v>0.297</v>
      </c>
      <c r="O8" s="227" t="n">
        <v>1</v>
      </c>
    </row>
    <row r="9">
      <c r="A9" s="221" t="inlineStr">
        <is>
          <t>ADR</t>
        </is>
      </c>
      <c r="B9" s="228" t="n">
        <v>188.4</v>
      </c>
      <c r="C9" s="228" t="n">
        <v>192.07</v>
      </c>
      <c r="D9" s="228" t="n">
        <v>186.86</v>
      </c>
      <c r="E9" s="228" t="n">
        <v>187.5</v>
      </c>
      <c r="F9" s="228" t="n">
        <v>213.98</v>
      </c>
      <c r="G9" s="228" t="n">
        <v>231.14</v>
      </c>
      <c r="H9" s="228" t="n">
        <v>230.98</v>
      </c>
      <c r="I9" s="228" t="n">
        <v>219.78</v>
      </c>
      <c r="J9" s="228" t="n">
        <v>229.75</v>
      </c>
      <c r="K9" s="228" t="n">
        <v>234.52</v>
      </c>
      <c r="L9" s="228" t="n">
        <v>231</v>
      </c>
      <c r="M9" s="228" t="n">
        <v>199.5</v>
      </c>
      <c r="N9" s="228" t="n">
        <v>204.75</v>
      </c>
      <c r="O9" s="229" t="n">
        <v>217.4872757434912</v>
      </c>
    </row>
    <row r="10">
      <c r="A10" s="221" t="inlineStr">
        <is>
          <t>Room nights</t>
        </is>
      </c>
      <c r="B10" s="230" t="n">
        <v>218.736</v>
      </c>
      <c r="C10" s="230" t="n">
        <v>301.392</v>
      </c>
      <c r="D10" s="230" t="n">
        <v>289.296</v>
      </c>
      <c r="E10" s="230" t="n">
        <v>402.192</v>
      </c>
      <c r="F10" s="230" t="n">
        <v>390.096</v>
      </c>
      <c r="G10" s="230" t="n">
        <v>555.408</v>
      </c>
      <c r="H10" s="230" t="n">
        <v>638.064</v>
      </c>
      <c r="I10" s="230" t="n">
        <v>699.552</v>
      </c>
      <c r="J10" s="230" t="n">
        <v>598.752</v>
      </c>
      <c r="K10" s="230" t="n">
        <v>687.456</v>
      </c>
      <c r="L10" s="230" t="n">
        <v>641.088</v>
      </c>
      <c r="M10" s="230" t="n">
        <v>299.376</v>
      </c>
      <c r="N10" s="230" t="n">
        <v>299.376</v>
      </c>
      <c r="O10" s="231" t="n">
        <v>6020.784</v>
      </c>
    </row>
    <row r="11">
      <c r="A11" s="221" t="inlineStr">
        <is>
          <t>Hotel room revenue</t>
        </is>
      </c>
      <c r="B11" s="232" t="n">
        <v>41209.86</v>
      </c>
      <c r="C11" s="232" t="n">
        <v>57888.36</v>
      </c>
      <c r="D11" s="232" t="n">
        <v>54057.85</v>
      </c>
      <c r="E11" s="232" t="n">
        <v>75411</v>
      </c>
      <c r="F11" s="232" t="n">
        <v>83472.74000000001</v>
      </c>
      <c r="G11" s="232" t="n">
        <v>128377.01</v>
      </c>
      <c r="H11" s="232" t="n">
        <v>147380.02</v>
      </c>
      <c r="I11" s="232" t="n">
        <v>153747.54</v>
      </c>
      <c r="J11" s="232" t="n">
        <v>137563.27</v>
      </c>
      <c r="K11" s="232" t="n">
        <v>161222.18</v>
      </c>
      <c r="L11" s="232" t="n">
        <v>148091.33</v>
      </c>
      <c r="M11" s="232" t="n">
        <v>59725.51</v>
      </c>
      <c r="N11" s="232" t="n">
        <v>61297.24</v>
      </c>
      <c r="O11" s="233" t="n">
        <v>1309443.91</v>
      </c>
    </row>
    <row r="12">
      <c r="A12" s="221" t="inlineStr">
        <is>
          <t>Fremont Provisions</t>
        </is>
      </c>
      <c r="B12" s="232" t="n">
        <v>58993</v>
      </c>
      <c r="C12" s="232" t="n">
        <v>56760</v>
      </c>
      <c r="D12" s="232" t="n">
        <v>59796</v>
      </c>
      <c r="E12" s="232" t="n">
        <v>66252</v>
      </c>
      <c r="F12" s="232" t="n">
        <v>73080</v>
      </c>
      <c r="G12" s="232" t="n">
        <v>74454</v>
      </c>
      <c r="H12" s="232" t="n">
        <v>70515</v>
      </c>
      <c r="I12" s="232" t="n">
        <v>83752</v>
      </c>
      <c r="J12" s="232" t="n">
        <v>76773</v>
      </c>
      <c r="K12" s="232" t="n">
        <v>88118</v>
      </c>
      <c r="L12" s="232" t="n">
        <v>85830</v>
      </c>
      <c r="M12" s="232" t="n">
        <v>62942</v>
      </c>
      <c r="N12" s="232" t="n">
        <v>68664</v>
      </c>
      <c r="O12" s="233" t="n">
        <v>925929</v>
      </c>
    </row>
    <row r="13">
      <c r="A13" s="221" t="inlineStr">
        <is>
          <t>1887 / hotel F&amp;B</t>
        </is>
      </c>
      <c r="B13" s="232" t="n">
        <v>92180</v>
      </c>
      <c r="C13" s="232" t="n">
        <v>115384</v>
      </c>
      <c r="D13" s="232" t="n">
        <v>104395</v>
      </c>
      <c r="E13" s="232" t="n">
        <v>119382</v>
      </c>
      <c r="F13" s="232" t="n">
        <v>128230</v>
      </c>
      <c r="G13" s="232" t="n">
        <v>132500</v>
      </c>
      <c r="H13" s="232" t="n">
        <v>141134</v>
      </c>
      <c r="I13" s="232" t="n">
        <v>165451</v>
      </c>
      <c r="J13" s="232" t="n">
        <v>148764</v>
      </c>
      <c r="K13" s="232" t="n">
        <v>168226</v>
      </c>
      <c r="L13" s="232" t="n">
        <v>168226</v>
      </c>
      <c r="M13" s="232" t="n">
        <v>122565</v>
      </c>
      <c r="N13" s="232" t="n">
        <v>132178</v>
      </c>
      <c r="O13" s="233" t="n">
        <v>1738615</v>
      </c>
    </row>
    <row r="14">
      <c r="A14" s="221" t="inlineStr">
        <is>
          <t>Standard Oil</t>
        </is>
      </c>
      <c r="B14" s="232" t="n">
        <v>16016</v>
      </c>
      <c r="C14" s="232" t="n">
        <v>19468</v>
      </c>
      <c r="D14" s="232" t="n">
        <v>21188</v>
      </c>
      <c r="E14" s="232" t="n">
        <v>24483</v>
      </c>
      <c r="F14" s="232" t="n">
        <v>27214</v>
      </c>
      <c r="G14" s="232" t="n">
        <v>29759</v>
      </c>
      <c r="H14" s="232" t="n">
        <v>31141</v>
      </c>
      <c r="I14" s="232" t="n">
        <v>32411</v>
      </c>
      <c r="J14" s="232" t="n">
        <v>28861</v>
      </c>
      <c r="K14" s="232" t="n">
        <v>21744</v>
      </c>
      <c r="L14" s="232" t="n">
        <v>21744</v>
      </c>
      <c r="M14" s="232" t="n">
        <v>21744</v>
      </c>
      <c r="N14" s="232" t="n">
        <v>21744</v>
      </c>
      <c r="O14" s="233" t="n">
        <v>317517</v>
      </c>
    </row>
    <row r="15">
      <c r="A15" s="234" t="inlineStr">
        <is>
          <t>Events ($40k / qtr even)</t>
        </is>
      </c>
      <c r="B15" s="232" t="n">
        <v>13333</v>
      </c>
      <c r="C15" s="232" t="n">
        <v>13333</v>
      </c>
      <c r="D15" s="232" t="n">
        <v>13334</v>
      </c>
      <c r="E15" s="232" t="n">
        <v>13333</v>
      </c>
      <c r="F15" s="232" t="n">
        <v>13333</v>
      </c>
      <c r="G15" s="232" t="n">
        <v>13334</v>
      </c>
      <c r="H15" s="232" t="n">
        <v>13333</v>
      </c>
      <c r="I15" s="232" t="n">
        <v>13333</v>
      </c>
      <c r="J15" s="232" t="n">
        <v>13334</v>
      </c>
      <c r="K15" s="232" t="n">
        <v>10000</v>
      </c>
      <c r="L15" s="232" t="n">
        <v>10000</v>
      </c>
      <c r="M15" s="232" t="n">
        <v>10000</v>
      </c>
      <c r="N15" s="232" t="n">
        <v>10000</v>
      </c>
      <c r="O15" s="233" t="n">
        <v>160000</v>
      </c>
    </row>
    <row r="16">
      <c r="A16" s="221" t="inlineStr">
        <is>
          <t>Total F&amp;B + events</t>
        </is>
      </c>
      <c r="B16" s="232" t="n">
        <v>180522</v>
      </c>
      <c r="C16" s="232" t="n">
        <v>204945</v>
      </c>
      <c r="D16" s="232" t="n">
        <v>198713</v>
      </c>
      <c r="E16" s="232" t="n">
        <v>223450</v>
      </c>
      <c r="F16" s="232" t="n">
        <v>241857</v>
      </c>
      <c r="G16" s="232" t="n">
        <v>250047</v>
      </c>
      <c r="H16" s="232" t="n">
        <v>256123</v>
      </c>
      <c r="I16" s="232" t="n">
        <v>294947</v>
      </c>
      <c r="J16" s="232" t="n">
        <v>267732</v>
      </c>
      <c r="K16" s="232" t="n">
        <v>288088</v>
      </c>
      <c r="L16" s="232" t="n">
        <v>285800</v>
      </c>
      <c r="M16" s="232" t="n">
        <v>217251</v>
      </c>
      <c r="N16" s="232" t="n">
        <v>232586</v>
      </c>
      <c r="O16" s="233" t="n">
        <v>3142061</v>
      </c>
    </row>
    <row r="17">
      <c r="A17" s="223" t="inlineStr">
        <is>
          <t>TOTAL INCOME</t>
        </is>
      </c>
      <c r="B17" s="235" t="n">
        <v>221731.86</v>
      </c>
      <c r="C17" s="235" t="n">
        <v>262833.36</v>
      </c>
      <c r="D17" s="235" t="n">
        <v>252770.85</v>
      </c>
      <c r="E17" s="235" t="n">
        <v>298861</v>
      </c>
      <c r="F17" s="235" t="n">
        <v>325329.74</v>
      </c>
      <c r="G17" s="235" t="n">
        <v>378424.01</v>
      </c>
      <c r="H17" s="235" t="n">
        <v>403503.02</v>
      </c>
      <c r="I17" s="235" t="n">
        <v>448694.54</v>
      </c>
      <c r="J17" s="235" t="n">
        <v>405295.27</v>
      </c>
      <c r="K17" s="235" t="n">
        <v>449310.18</v>
      </c>
      <c r="L17" s="235" t="n">
        <v>433891.33</v>
      </c>
      <c r="M17" s="235" t="n">
        <v>276976.51</v>
      </c>
      <c r="N17" s="235" t="n">
        <v>293883.24</v>
      </c>
      <c r="O17" s="233" t="n">
        <v>4451504.91</v>
      </c>
    </row>
    <row r="18">
      <c r="A18" s="221" t="inlineStr">
        <is>
          <t>Food 32% of F&amp;B</t>
        </is>
      </c>
      <c r="B18" s="232" t="n">
        <v>57767.04</v>
      </c>
      <c r="C18" s="232" t="n">
        <v>65582.39999999999</v>
      </c>
      <c r="D18" s="232" t="n">
        <v>63588.16</v>
      </c>
      <c r="E18" s="232" t="n">
        <v>71504</v>
      </c>
      <c r="F18" s="232" t="n">
        <v>77394.24000000001</v>
      </c>
      <c r="G18" s="232" t="n">
        <v>80015.03999999999</v>
      </c>
      <c r="H18" s="232" t="n">
        <v>81959.36</v>
      </c>
      <c r="I18" s="232" t="n">
        <v>94383.03999999999</v>
      </c>
      <c r="J18" s="232" t="n">
        <v>85674.24000000001</v>
      </c>
      <c r="K18" s="232" t="n">
        <v>92188.16</v>
      </c>
      <c r="L18" s="232" t="n">
        <v>91456</v>
      </c>
      <c r="M18" s="232" t="n">
        <v>69520.32000000001</v>
      </c>
      <c r="N18" s="232" t="n">
        <v>74427.52</v>
      </c>
      <c r="O18" s="233" t="n">
        <v>1005459.52</v>
      </c>
    </row>
    <row r="19">
      <c r="A19" s="221" t="inlineStr">
        <is>
          <t>F&amp;B labor 33% of F&amp;B</t>
        </is>
      </c>
      <c r="B19" s="232" t="n">
        <v>59572.26</v>
      </c>
      <c r="C19" s="232" t="n">
        <v>67631.85000000001</v>
      </c>
      <c r="D19" s="232" t="n">
        <v>65575.28999999999</v>
      </c>
      <c r="E19" s="232" t="n">
        <v>73738.5</v>
      </c>
      <c r="F19" s="232" t="n">
        <v>79812.81</v>
      </c>
      <c r="G19" s="232" t="n">
        <v>82515.50999999999</v>
      </c>
      <c r="H19" s="232" t="n">
        <v>84520.59</v>
      </c>
      <c r="I19" s="232" t="n">
        <v>97332.50999999999</v>
      </c>
      <c r="J19" s="232" t="n">
        <v>88351.56</v>
      </c>
      <c r="K19" s="232" t="n">
        <v>95069.03999999999</v>
      </c>
      <c r="L19" s="232" t="n">
        <v>94314</v>
      </c>
      <c r="M19" s="232" t="n">
        <v>71692.83</v>
      </c>
      <c r="N19" s="232" t="n">
        <v>76753.38</v>
      </c>
      <c r="O19" s="233" t="n">
        <v>1036880.13</v>
      </c>
    </row>
    <row r="20">
      <c r="A20" s="221" t="inlineStr">
        <is>
          <t>Hotel labor 46.4% of rooms</t>
        </is>
      </c>
      <c r="B20" s="232" t="n">
        <v>19121.38</v>
      </c>
      <c r="C20" s="232" t="n">
        <v>26860.2</v>
      </c>
      <c r="D20" s="232" t="n">
        <v>25082.84</v>
      </c>
      <c r="E20" s="232" t="n">
        <v>34990.7</v>
      </c>
      <c r="F20" s="232" t="n">
        <v>38731.35</v>
      </c>
      <c r="G20" s="232" t="n">
        <v>59566.93</v>
      </c>
      <c r="H20" s="232" t="n">
        <v>68384.33</v>
      </c>
      <c r="I20" s="232" t="n">
        <v>71338.86</v>
      </c>
      <c r="J20" s="232" t="n">
        <v>63829.36</v>
      </c>
      <c r="K20" s="232" t="n">
        <v>74807.09</v>
      </c>
      <c r="L20" s="232" t="n">
        <v>68714.38</v>
      </c>
      <c r="M20" s="232" t="n">
        <v>27712.64</v>
      </c>
      <c r="N20" s="232" t="n">
        <v>28441.92</v>
      </c>
      <c r="O20" s="233" t="n">
        <v>607581.98</v>
      </c>
    </row>
    <row r="21">
      <c r="A21" s="223" t="inlineStr">
        <is>
          <t>Total labor (tax in)</t>
        </is>
      </c>
      <c r="B21" s="235" t="n">
        <v>78693.64</v>
      </c>
      <c r="C21" s="235" t="n">
        <v>94492.05</v>
      </c>
      <c r="D21" s="235" t="n">
        <v>90658.12999999999</v>
      </c>
      <c r="E21" s="235" t="n">
        <v>108729.2</v>
      </c>
      <c r="F21" s="235" t="n">
        <v>118544.16</v>
      </c>
      <c r="G21" s="235" t="n">
        <v>142082.44</v>
      </c>
      <c r="H21" s="235" t="n">
        <v>152904.92</v>
      </c>
      <c r="I21" s="235" t="n">
        <v>168671.37</v>
      </c>
      <c r="J21" s="235" t="n">
        <v>152180.92</v>
      </c>
      <c r="K21" s="235" t="n">
        <v>169876.13</v>
      </c>
      <c r="L21" s="235" t="n">
        <v>163028.38</v>
      </c>
      <c r="M21" s="235" t="n">
        <v>99405.47</v>
      </c>
      <c r="N21" s="235" t="n">
        <v>105195.3</v>
      </c>
      <c r="O21" s="233" t="n">
        <v>1644462.11</v>
      </c>
    </row>
    <row r="22">
      <c r="A22" s="236" t="inlineStr">
        <is>
          <t>Prime on F&amp;B (food+F&amp;B labor)</t>
        </is>
      </c>
      <c r="B22" s="232" t="n">
        <v>117339.3</v>
      </c>
      <c r="C22" s="232" t="n">
        <v>133214.25</v>
      </c>
      <c r="D22" s="232" t="n">
        <v>129163.45</v>
      </c>
      <c r="E22" s="232" t="n">
        <v>145242.5</v>
      </c>
      <c r="F22" s="232" t="n">
        <v>157207.05</v>
      </c>
      <c r="G22" s="232" t="n">
        <v>162530.55</v>
      </c>
      <c r="H22" s="232" t="n">
        <v>166479.95</v>
      </c>
      <c r="I22" s="232" t="n">
        <v>191715.55</v>
      </c>
      <c r="J22" s="232" t="n">
        <v>174025.8</v>
      </c>
      <c r="K22" s="232" t="n">
        <v>187257.2</v>
      </c>
      <c r="L22" s="232" t="n">
        <v>185770</v>
      </c>
      <c r="M22" s="232" t="n">
        <v>141213.15</v>
      </c>
      <c r="N22" s="232" t="n">
        <v>151180.9</v>
      </c>
      <c r="O22" s="233" t="n">
        <v>2042339.65</v>
      </c>
    </row>
    <row r="23">
      <c r="A23" s="221" t="inlineStr">
        <is>
          <t>Prime % of F&amp;B</t>
        </is>
      </c>
      <c r="B23" s="226" t="n">
        <v>0.65</v>
      </c>
      <c r="C23" s="226" t="n">
        <v>0.65</v>
      </c>
      <c r="D23" s="226" t="n">
        <v>0.65</v>
      </c>
      <c r="E23" s="226" t="n">
        <v>0.65</v>
      </c>
      <c r="F23" s="226" t="n">
        <v>0.65</v>
      </c>
      <c r="G23" s="226" t="n">
        <v>0.65</v>
      </c>
      <c r="H23" s="226" t="n">
        <v>0.65</v>
      </c>
      <c r="I23" s="226" t="n">
        <v>0.65</v>
      </c>
      <c r="J23" s="226" t="n">
        <v>0.65</v>
      </c>
      <c r="K23" s="226" t="n">
        <v>0.65</v>
      </c>
      <c r="L23" s="226" t="n">
        <v>0.65</v>
      </c>
      <c r="M23" s="226" t="n">
        <v>0.65</v>
      </c>
      <c r="N23" s="226" t="n">
        <v>0.65</v>
      </c>
      <c r="O23" s="227" t="n">
        <v>0.65</v>
      </c>
    </row>
    <row r="25">
      <c r="A25" s="237" t="inlineStr">
        <is>
          <t>NOI at hotel labor 46.4% (leases held)</t>
        </is>
      </c>
      <c r="B25" s="238" t="n">
        <v>-23025</v>
      </c>
    </row>
    <row r="26">
      <c r="A26" s="239" t="inlineStr">
        <is>
          <t>NOI if hotel labor 30% of rooms</t>
        </is>
      </c>
      <c r="B26" s="238" t="n">
        <v>191723</v>
      </c>
    </row>
    <row r="28">
      <c r="A28" s="240" t="inlineStr">
        <is>
          <t>Notes</t>
        </is>
      </c>
    </row>
    <row r="29" ht="18" customHeight="1">
      <c r="A29" s="241" t="inlineStr">
        <is>
          <t>1. Events: $40,000 a quarter, even inside the quarter. Q1 P1–P3 · Q2 P4–P6 · Q3 P7–P9 · Q4 P10–P13. Year $160,000.</t>
        </is>
      </c>
    </row>
    <row r="30" ht="18" customHeight="1">
      <c r="A30" s="241" t="inlineStr">
        <is>
          <t>2. Do not build occupancy off 2025 + 10%. 2026 P1–P9 already ran 41% occ / $205 ADR.</t>
        </is>
      </c>
    </row>
    <row r="31" ht="18" customHeight="1">
      <c r="A31" s="241" t="inlineStr">
        <is>
          <t>3. Prime 65% = 32% food + 33% F&amp;B labor, exclusive of hotel. 2026 P1–P9 F&amp;B labor was 43% with tax.</t>
        </is>
      </c>
    </row>
    <row r="32" ht="18" customHeight="1">
      <c r="A32" s="241" t="inlineStr">
        <is>
          <t>4. Hotel labor is outside the 65%. 2026 run 46.4% of room $ vs 30% stretch.</t>
        </is>
      </c>
    </row>
    <row r="33" ht="18" customHeight="1">
      <c r="A33" s="241" t="inlineStr">
        <is>
          <t>5. 1887 lifted 5% with occupied rooms. FP and Standard Oil hold 2026 pace. Overhead is the 2026 file.</t>
        </is>
      </c>
    </row>
    <row r="34" ht="18" customHeight="1">
      <c r="A34" s="241" t="inlineStr">
        <is>
          <t>6. 2027 Operating Budget tab is your COMPANY INCOME STATEMENT. Yellow = drivers. Actuals blank.</t>
        </is>
      </c>
    </row>
  </sheetData>
  <mergeCells count="8">
    <mergeCell ref="A29:O29"/>
    <mergeCell ref="A2:O2"/>
    <mergeCell ref="A33:O33"/>
    <mergeCell ref="A1:O1"/>
    <mergeCell ref="A32:O32"/>
    <mergeCell ref="A31:O31"/>
    <mergeCell ref="A34:O34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8BA7"/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217" t="inlineStr">
        <is>
          <t>WEEKLY F&amp;B LABOR TO STAFF  ·  33% of F&amp;B, tax in  ·  hotel out</t>
        </is>
      </c>
    </row>
    <row r="2">
      <c r="A2" s="218" t="inlineStr">
        <is>
          <t>Period labor ÷ 4 weeks. Events $40k/qtr even. Standing management is inside the 33%, not on top. Do not POST these into 2026 planner KV.</t>
        </is>
      </c>
    </row>
    <row r="4" ht="32" customHeight="1">
      <c r="A4" s="242" t="inlineStr">
        <is>
          <t>Period</t>
        </is>
      </c>
      <c r="B4" s="242" t="inlineStr">
        <is>
          <t>Week start</t>
        </is>
      </c>
      <c r="C4" s="242" t="inlineStr">
        <is>
          <t>FP rest</t>
        </is>
      </c>
      <c r="D4" s="242" t="inlineStr">
        <is>
          <t>FP labor 33%</t>
        </is>
      </c>
      <c r="E4" s="242" t="inlineStr">
        <is>
          <t>1887 rest</t>
        </is>
      </c>
      <c r="F4" s="242" t="inlineStr">
        <is>
          <t>1887 labor 33%</t>
        </is>
      </c>
      <c r="G4" s="242" t="inlineStr">
        <is>
          <t>SOCC rest</t>
        </is>
      </c>
      <c r="H4" s="242" t="inlineStr">
        <is>
          <t>SOCC labor 33%</t>
        </is>
      </c>
      <c r="I4" s="242" t="inlineStr">
        <is>
          <t>Events</t>
        </is>
      </c>
      <c r="J4" s="242" t="inlineStr">
        <is>
          <t>Evt labor 33%</t>
        </is>
      </c>
      <c r="K4" s="242" t="inlineStr">
        <is>
          <t>Hotel rooms</t>
        </is>
      </c>
      <c r="L4" s="242" t="inlineStr">
        <is>
          <t>Hotel labor 46%</t>
        </is>
      </c>
    </row>
    <row r="5">
      <c r="A5" s="222" t="inlineStr">
        <is>
          <t>P1</t>
        </is>
      </c>
      <c r="B5" s="243" t="n">
        <v>46384</v>
      </c>
      <c r="C5" s="232" t="n">
        <v>14748.25</v>
      </c>
      <c r="D5" s="232" t="n">
        <v>4866.92</v>
      </c>
      <c r="E5" s="232" t="n">
        <v>23045</v>
      </c>
      <c r="F5" s="232" t="n">
        <v>7604.85</v>
      </c>
      <c r="G5" s="232" t="n">
        <v>4004</v>
      </c>
      <c r="H5" s="232" t="n">
        <v>1321.32</v>
      </c>
      <c r="I5" s="232" t="n">
        <v>3333.25</v>
      </c>
      <c r="J5" s="232" t="n">
        <v>1099.97</v>
      </c>
      <c r="K5" s="232" t="n">
        <v>10302.47</v>
      </c>
      <c r="L5" s="232" t="n">
        <v>4780.35</v>
      </c>
    </row>
    <row r="6">
      <c r="A6" s="222" t="inlineStr">
        <is>
          <t>P1</t>
        </is>
      </c>
      <c r="B6" s="243" t="n">
        <v>46391</v>
      </c>
      <c r="C6" s="232" t="n">
        <v>14748.25</v>
      </c>
      <c r="D6" s="232" t="n">
        <v>4866.92</v>
      </c>
      <c r="E6" s="232" t="n">
        <v>23045</v>
      </c>
      <c r="F6" s="232" t="n">
        <v>7604.85</v>
      </c>
      <c r="G6" s="232" t="n">
        <v>4004</v>
      </c>
      <c r="H6" s="232" t="n">
        <v>1321.32</v>
      </c>
      <c r="I6" s="232" t="n">
        <v>3333.25</v>
      </c>
      <c r="J6" s="232" t="n">
        <v>1099.97</v>
      </c>
      <c r="K6" s="232" t="n">
        <v>10302.47</v>
      </c>
      <c r="L6" s="232" t="n">
        <v>4780.35</v>
      </c>
    </row>
    <row r="7">
      <c r="A7" s="222" t="inlineStr">
        <is>
          <t>P1</t>
        </is>
      </c>
      <c r="B7" s="243" t="n">
        <v>46398</v>
      </c>
      <c r="C7" s="232" t="n">
        <v>14748.25</v>
      </c>
      <c r="D7" s="232" t="n">
        <v>4866.92</v>
      </c>
      <c r="E7" s="232" t="n">
        <v>23045</v>
      </c>
      <c r="F7" s="232" t="n">
        <v>7604.85</v>
      </c>
      <c r="G7" s="232" t="n">
        <v>4004</v>
      </c>
      <c r="H7" s="232" t="n">
        <v>1321.32</v>
      </c>
      <c r="I7" s="232" t="n">
        <v>3333.25</v>
      </c>
      <c r="J7" s="232" t="n">
        <v>1099.97</v>
      </c>
      <c r="K7" s="232" t="n">
        <v>10302.47</v>
      </c>
      <c r="L7" s="232" t="n">
        <v>4780.35</v>
      </c>
    </row>
    <row r="8">
      <c r="A8" s="244" t="inlineStr">
        <is>
          <t>P1</t>
        </is>
      </c>
      <c r="B8" s="245" t="n">
        <v>46405</v>
      </c>
      <c r="C8" s="235" t="n">
        <v>14748.25</v>
      </c>
      <c r="D8" s="235" t="n">
        <v>4866.92</v>
      </c>
      <c r="E8" s="235" t="n">
        <v>23045</v>
      </c>
      <c r="F8" s="235" t="n">
        <v>7604.85</v>
      </c>
      <c r="G8" s="235" t="n">
        <v>4004</v>
      </c>
      <c r="H8" s="235" t="n">
        <v>1321.32</v>
      </c>
      <c r="I8" s="235" t="n">
        <v>3333.25</v>
      </c>
      <c r="J8" s="235" t="n">
        <v>1099.97</v>
      </c>
      <c r="K8" s="235" t="n">
        <v>10302.47</v>
      </c>
      <c r="L8" s="235" t="n">
        <v>4780.35</v>
      </c>
    </row>
    <row r="9">
      <c r="A9" s="222" t="inlineStr">
        <is>
          <t>P2</t>
        </is>
      </c>
      <c r="B9" s="243" t="n">
        <v>46412</v>
      </c>
      <c r="C9" s="232" t="n">
        <v>14190</v>
      </c>
      <c r="D9" s="232" t="n">
        <v>4682.7</v>
      </c>
      <c r="E9" s="232" t="n">
        <v>28846</v>
      </c>
      <c r="F9" s="232" t="n">
        <v>9519.18</v>
      </c>
      <c r="G9" s="232" t="n">
        <v>4867</v>
      </c>
      <c r="H9" s="232" t="n">
        <v>1606.11</v>
      </c>
      <c r="I9" s="232" t="n">
        <v>3333.25</v>
      </c>
      <c r="J9" s="232" t="n">
        <v>1099.97</v>
      </c>
      <c r="K9" s="232" t="n">
        <v>14472.09</v>
      </c>
      <c r="L9" s="232" t="n">
        <v>6715.05</v>
      </c>
    </row>
    <row r="10">
      <c r="A10" s="222" t="inlineStr">
        <is>
          <t>P2</t>
        </is>
      </c>
      <c r="B10" s="243" t="n">
        <v>46419</v>
      </c>
      <c r="C10" s="232" t="n">
        <v>14190</v>
      </c>
      <c r="D10" s="232" t="n">
        <v>4682.7</v>
      </c>
      <c r="E10" s="232" t="n">
        <v>28846</v>
      </c>
      <c r="F10" s="232" t="n">
        <v>9519.18</v>
      </c>
      <c r="G10" s="232" t="n">
        <v>4867</v>
      </c>
      <c r="H10" s="232" t="n">
        <v>1606.11</v>
      </c>
      <c r="I10" s="232" t="n">
        <v>3333.25</v>
      </c>
      <c r="J10" s="232" t="n">
        <v>1099.97</v>
      </c>
      <c r="K10" s="232" t="n">
        <v>14472.09</v>
      </c>
      <c r="L10" s="232" t="n">
        <v>6715.05</v>
      </c>
    </row>
    <row r="11">
      <c r="A11" s="222" t="inlineStr">
        <is>
          <t>P2</t>
        </is>
      </c>
      <c r="B11" s="243" t="n">
        <v>46426</v>
      </c>
      <c r="C11" s="232" t="n">
        <v>14190</v>
      </c>
      <c r="D11" s="232" t="n">
        <v>4682.7</v>
      </c>
      <c r="E11" s="232" t="n">
        <v>28846</v>
      </c>
      <c r="F11" s="232" t="n">
        <v>9519.18</v>
      </c>
      <c r="G11" s="232" t="n">
        <v>4867</v>
      </c>
      <c r="H11" s="232" t="n">
        <v>1606.11</v>
      </c>
      <c r="I11" s="232" t="n">
        <v>3333.25</v>
      </c>
      <c r="J11" s="232" t="n">
        <v>1099.97</v>
      </c>
      <c r="K11" s="232" t="n">
        <v>14472.09</v>
      </c>
      <c r="L11" s="232" t="n">
        <v>6715.05</v>
      </c>
    </row>
    <row r="12">
      <c r="A12" s="244" t="inlineStr">
        <is>
          <t>P2</t>
        </is>
      </c>
      <c r="B12" s="245" t="n">
        <v>46433</v>
      </c>
      <c r="C12" s="235" t="n">
        <v>14190</v>
      </c>
      <c r="D12" s="235" t="n">
        <v>4682.7</v>
      </c>
      <c r="E12" s="235" t="n">
        <v>28846</v>
      </c>
      <c r="F12" s="235" t="n">
        <v>9519.18</v>
      </c>
      <c r="G12" s="235" t="n">
        <v>4867</v>
      </c>
      <c r="H12" s="235" t="n">
        <v>1606.11</v>
      </c>
      <c r="I12" s="235" t="n">
        <v>3333.25</v>
      </c>
      <c r="J12" s="235" t="n">
        <v>1099.97</v>
      </c>
      <c r="K12" s="235" t="n">
        <v>14472.09</v>
      </c>
      <c r="L12" s="235" t="n">
        <v>6715.05</v>
      </c>
    </row>
    <row r="13">
      <c r="A13" s="222" t="inlineStr">
        <is>
          <t>P3</t>
        </is>
      </c>
      <c r="B13" s="243" t="n">
        <v>46440</v>
      </c>
      <c r="C13" s="232" t="n">
        <v>14949</v>
      </c>
      <c r="D13" s="232" t="n">
        <v>4933.17</v>
      </c>
      <c r="E13" s="232" t="n">
        <v>26098.75</v>
      </c>
      <c r="F13" s="232" t="n">
        <v>8612.59</v>
      </c>
      <c r="G13" s="232" t="n">
        <v>5297</v>
      </c>
      <c r="H13" s="232" t="n">
        <v>1748.01</v>
      </c>
      <c r="I13" s="232" t="n">
        <v>3333.5</v>
      </c>
      <c r="J13" s="232" t="n">
        <v>1100.06</v>
      </c>
      <c r="K13" s="232" t="n">
        <v>13514.46</v>
      </c>
      <c r="L13" s="232" t="n">
        <v>6270.71</v>
      </c>
    </row>
    <row r="14">
      <c r="A14" s="222" t="inlineStr">
        <is>
          <t>P3</t>
        </is>
      </c>
      <c r="B14" s="243" t="n">
        <v>46447</v>
      </c>
      <c r="C14" s="232" t="n">
        <v>14949</v>
      </c>
      <c r="D14" s="232" t="n">
        <v>4933.17</v>
      </c>
      <c r="E14" s="232" t="n">
        <v>26098.75</v>
      </c>
      <c r="F14" s="232" t="n">
        <v>8612.59</v>
      </c>
      <c r="G14" s="232" t="n">
        <v>5297</v>
      </c>
      <c r="H14" s="232" t="n">
        <v>1748.01</v>
      </c>
      <c r="I14" s="232" t="n">
        <v>3333.5</v>
      </c>
      <c r="J14" s="232" t="n">
        <v>1100.06</v>
      </c>
      <c r="K14" s="232" t="n">
        <v>13514.46</v>
      </c>
      <c r="L14" s="232" t="n">
        <v>6270.71</v>
      </c>
    </row>
    <row r="15">
      <c r="A15" s="222" t="inlineStr">
        <is>
          <t>P3</t>
        </is>
      </c>
      <c r="B15" s="243" t="n">
        <v>46454</v>
      </c>
      <c r="C15" s="232" t="n">
        <v>14949</v>
      </c>
      <c r="D15" s="232" t="n">
        <v>4933.17</v>
      </c>
      <c r="E15" s="232" t="n">
        <v>26098.75</v>
      </c>
      <c r="F15" s="232" t="n">
        <v>8612.59</v>
      </c>
      <c r="G15" s="232" t="n">
        <v>5297</v>
      </c>
      <c r="H15" s="232" t="n">
        <v>1748.01</v>
      </c>
      <c r="I15" s="232" t="n">
        <v>3333.5</v>
      </c>
      <c r="J15" s="232" t="n">
        <v>1100.06</v>
      </c>
      <c r="K15" s="232" t="n">
        <v>13514.46</v>
      </c>
      <c r="L15" s="232" t="n">
        <v>6270.71</v>
      </c>
    </row>
    <row r="16">
      <c r="A16" s="244" t="inlineStr">
        <is>
          <t>P3</t>
        </is>
      </c>
      <c r="B16" s="245" t="n">
        <v>46461</v>
      </c>
      <c r="C16" s="235" t="n">
        <v>14949</v>
      </c>
      <c r="D16" s="235" t="n">
        <v>4933.17</v>
      </c>
      <c r="E16" s="235" t="n">
        <v>26098.75</v>
      </c>
      <c r="F16" s="235" t="n">
        <v>8612.59</v>
      </c>
      <c r="G16" s="235" t="n">
        <v>5297</v>
      </c>
      <c r="H16" s="235" t="n">
        <v>1748.01</v>
      </c>
      <c r="I16" s="235" t="n">
        <v>3333.5</v>
      </c>
      <c r="J16" s="235" t="n">
        <v>1100.06</v>
      </c>
      <c r="K16" s="235" t="n">
        <v>13514.46</v>
      </c>
      <c r="L16" s="235" t="n">
        <v>6270.71</v>
      </c>
    </row>
    <row r="17">
      <c r="A17" s="222" t="inlineStr">
        <is>
          <t>P4</t>
        </is>
      </c>
      <c r="B17" s="243" t="n">
        <v>46468</v>
      </c>
      <c r="C17" s="232" t="n">
        <v>16563</v>
      </c>
      <c r="D17" s="232" t="n">
        <v>5465.79</v>
      </c>
      <c r="E17" s="232" t="n">
        <v>29845.5</v>
      </c>
      <c r="F17" s="232" t="n">
        <v>9849.01</v>
      </c>
      <c r="G17" s="232" t="n">
        <v>6120.75</v>
      </c>
      <c r="H17" s="232" t="n">
        <v>2019.85</v>
      </c>
      <c r="I17" s="232" t="n">
        <v>3333.25</v>
      </c>
      <c r="J17" s="232" t="n">
        <v>1099.97</v>
      </c>
      <c r="K17" s="232" t="n">
        <v>18852.75</v>
      </c>
      <c r="L17" s="232" t="n">
        <v>8747.67</v>
      </c>
    </row>
    <row r="18">
      <c r="A18" s="222" t="inlineStr">
        <is>
          <t>P4</t>
        </is>
      </c>
      <c r="B18" s="243" t="n">
        <v>46475</v>
      </c>
      <c r="C18" s="232" t="n">
        <v>16563</v>
      </c>
      <c r="D18" s="232" t="n">
        <v>5465.79</v>
      </c>
      <c r="E18" s="232" t="n">
        <v>29845.5</v>
      </c>
      <c r="F18" s="232" t="n">
        <v>9849.01</v>
      </c>
      <c r="G18" s="232" t="n">
        <v>6120.75</v>
      </c>
      <c r="H18" s="232" t="n">
        <v>2019.85</v>
      </c>
      <c r="I18" s="232" t="n">
        <v>3333.25</v>
      </c>
      <c r="J18" s="232" t="n">
        <v>1099.97</v>
      </c>
      <c r="K18" s="232" t="n">
        <v>18852.75</v>
      </c>
      <c r="L18" s="232" t="n">
        <v>8747.67</v>
      </c>
    </row>
    <row r="19">
      <c r="A19" s="222" t="inlineStr">
        <is>
          <t>P4</t>
        </is>
      </c>
      <c r="B19" s="243" t="n">
        <v>46482</v>
      </c>
      <c r="C19" s="232" t="n">
        <v>16563</v>
      </c>
      <c r="D19" s="232" t="n">
        <v>5465.79</v>
      </c>
      <c r="E19" s="232" t="n">
        <v>29845.5</v>
      </c>
      <c r="F19" s="232" t="n">
        <v>9849.01</v>
      </c>
      <c r="G19" s="232" t="n">
        <v>6120.75</v>
      </c>
      <c r="H19" s="232" t="n">
        <v>2019.85</v>
      </c>
      <c r="I19" s="232" t="n">
        <v>3333.25</v>
      </c>
      <c r="J19" s="232" t="n">
        <v>1099.97</v>
      </c>
      <c r="K19" s="232" t="n">
        <v>18852.75</v>
      </c>
      <c r="L19" s="232" t="n">
        <v>8747.67</v>
      </c>
    </row>
    <row r="20">
      <c r="A20" s="244" t="inlineStr">
        <is>
          <t>P4</t>
        </is>
      </c>
      <c r="B20" s="245" t="n">
        <v>46489</v>
      </c>
      <c r="C20" s="235" t="n">
        <v>16563</v>
      </c>
      <c r="D20" s="235" t="n">
        <v>5465.79</v>
      </c>
      <c r="E20" s="235" t="n">
        <v>29845.5</v>
      </c>
      <c r="F20" s="235" t="n">
        <v>9849.01</v>
      </c>
      <c r="G20" s="235" t="n">
        <v>6120.75</v>
      </c>
      <c r="H20" s="235" t="n">
        <v>2019.85</v>
      </c>
      <c r="I20" s="235" t="n">
        <v>3333.25</v>
      </c>
      <c r="J20" s="235" t="n">
        <v>1099.97</v>
      </c>
      <c r="K20" s="235" t="n">
        <v>18852.75</v>
      </c>
      <c r="L20" s="235" t="n">
        <v>8747.67</v>
      </c>
    </row>
    <row r="21">
      <c r="A21" s="222" t="inlineStr">
        <is>
          <t>P5</t>
        </is>
      </c>
      <c r="B21" s="243" t="n">
        <v>46496</v>
      </c>
      <c r="C21" s="232" t="n">
        <v>18270</v>
      </c>
      <c r="D21" s="232" t="n">
        <v>6029.1</v>
      </c>
      <c r="E21" s="232" t="n">
        <v>32057.5</v>
      </c>
      <c r="F21" s="232" t="n">
        <v>10578.98</v>
      </c>
      <c r="G21" s="232" t="n">
        <v>6803.5</v>
      </c>
      <c r="H21" s="232" t="n">
        <v>2245.16</v>
      </c>
      <c r="I21" s="232" t="n">
        <v>3333.25</v>
      </c>
      <c r="J21" s="232" t="n">
        <v>1099.97</v>
      </c>
      <c r="K21" s="232" t="n">
        <v>20868.19</v>
      </c>
      <c r="L21" s="232" t="n">
        <v>9682.84</v>
      </c>
    </row>
    <row r="22">
      <c r="A22" s="222" t="inlineStr">
        <is>
          <t>P5</t>
        </is>
      </c>
      <c r="B22" s="243" t="n">
        <v>46503</v>
      </c>
      <c r="C22" s="232" t="n">
        <v>18270</v>
      </c>
      <c r="D22" s="232" t="n">
        <v>6029.1</v>
      </c>
      <c r="E22" s="232" t="n">
        <v>32057.5</v>
      </c>
      <c r="F22" s="232" t="n">
        <v>10578.98</v>
      </c>
      <c r="G22" s="232" t="n">
        <v>6803.5</v>
      </c>
      <c r="H22" s="232" t="n">
        <v>2245.16</v>
      </c>
      <c r="I22" s="232" t="n">
        <v>3333.25</v>
      </c>
      <c r="J22" s="232" t="n">
        <v>1099.97</v>
      </c>
      <c r="K22" s="232" t="n">
        <v>20868.19</v>
      </c>
      <c r="L22" s="232" t="n">
        <v>9682.84</v>
      </c>
    </row>
    <row r="23">
      <c r="A23" s="222" t="inlineStr">
        <is>
          <t>P5</t>
        </is>
      </c>
      <c r="B23" s="243" t="n">
        <v>46510</v>
      </c>
      <c r="C23" s="232" t="n">
        <v>18270</v>
      </c>
      <c r="D23" s="232" t="n">
        <v>6029.1</v>
      </c>
      <c r="E23" s="232" t="n">
        <v>32057.5</v>
      </c>
      <c r="F23" s="232" t="n">
        <v>10578.98</v>
      </c>
      <c r="G23" s="232" t="n">
        <v>6803.5</v>
      </c>
      <c r="H23" s="232" t="n">
        <v>2245.16</v>
      </c>
      <c r="I23" s="232" t="n">
        <v>3333.25</v>
      </c>
      <c r="J23" s="232" t="n">
        <v>1099.97</v>
      </c>
      <c r="K23" s="232" t="n">
        <v>20868.19</v>
      </c>
      <c r="L23" s="232" t="n">
        <v>9682.84</v>
      </c>
    </row>
    <row r="24">
      <c r="A24" s="244" t="inlineStr">
        <is>
          <t>P5</t>
        </is>
      </c>
      <c r="B24" s="245" t="n">
        <v>46517</v>
      </c>
      <c r="C24" s="235" t="n">
        <v>18270</v>
      </c>
      <c r="D24" s="235" t="n">
        <v>6029.1</v>
      </c>
      <c r="E24" s="235" t="n">
        <v>32057.5</v>
      </c>
      <c r="F24" s="235" t="n">
        <v>10578.98</v>
      </c>
      <c r="G24" s="235" t="n">
        <v>6803.5</v>
      </c>
      <c r="H24" s="235" t="n">
        <v>2245.16</v>
      </c>
      <c r="I24" s="235" t="n">
        <v>3333.25</v>
      </c>
      <c r="J24" s="235" t="n">
        <v>1099.97</v>
      </c>
      <c r="K24" s="235" t="n">
        <v>20868.19</v>
      </c>
      <c r="L24" s="235" t="n">
        <v>9682.84</v>
      </c>
    </row>
    <row r="25">
      <c r="A25" s="222" t="inlineStr">
        <is>
          <t>P6</t>
        </is>
      </c>
      <c r="B25" s="243" t="n">
        <v>46524</v>
      </c>
      <c r="C25" s="232" t="n">
        <v>18613.5</v>
      </c>
      <c r="D25" s="232" t="n">
        <v>6142.45</v>
      </c>
      <c r="E25" s="232" t="n">
        <v>33125</v>
      </c>
      <c r="F25" s="232" t="n">
        <v>10931.25</v>
      </c>
      <c r="G25" s="232" t="n">
        <v>7439.75</v>
      </c>
      <c r="H25" s="232" t="n">
        <v>2455.12</v>
      </c>
      <c r="I25" s="232" t="n">
        <v>3333.5</v>
      </c>
      <c r="J25" s="232" t="n">
        <v>1100.06</v>
      </c>
      <c r="K25" s="232" t="n">
        <v>32094.25</v>
      </c>
      <c r="L25" s="232" t="n">
        <v>14891.73</v>
      </c>
    </row>
    <row r="26">
      <c r="A26" s="222" t="inlineStr">
        <is>
          <t>P6</t>
        </is>
      </c>
      <c r="B26" s="243" t="n">
        <v>46531</v>
      </c>
      <c r="C26" s="232" t="n">
        <v>18613.5</v>
      </c>
      <c r="D26" s="232" t="n">
        <v>6142.45</v>
      </c>
      <c r="E26" s="232" t="n">
        <v>33125</v>
      </c>
      <c r="F26" s="232" t="n">
        <v>10931.25</v>
      </c>
      <c r="G26" s="232" t="n">
        <v>7439.75</v>
      </c>
      <c r="H26" s="232" t="n">
        <v>2455.12</v>
      </c>
      <c r="I26" s="232" t="n">
        <v>3333.5</v>
      </c>
      <c r="J26" s="232" t="n">
        <v>1100.06</v>
      </c>
      <c r="K26" s="232" t="n">
        <v>32094.25</v>
      </c>
      <c r="L26" s="232" t="n">
        <v>14891.73</v>
      </c>
    </row>
    <row r="27">
      <c r="A27" s="222" t="inlineStr">
        <is>
          <t>P6</t>
        </is>
      </c>
      <c r="B27" s="243" t="n">
        <v>46538</v>
      </c>
      <c r="C27" s="232" t="n">
        <v>18613.5</v>
      </c>
      <c r="D27" s="232" t="n">
        <v>6142.45</v>
      </c>
      <c r="E27" s="232" t="n">
        <v>33125</v>
      </c>
      <c r="F27" s="232" t="n">
        <v>10931.25</v>
      </c>
      <c r="G27" s="232" t="n">
        <v>7439.75</v>
      </c>
      <c r="H27" s="232" t="n">
        <v>2455.12</v>
      </c>
      <c r="I27" s="232" t="n">
        <v>3333.5</v>
      </c>
      <c r="J27" s="232" t="n">
        <v>1100.06</v>
      </c>
      <c r="K27" s="232" t="n">
        <v>32094.25</v>
      </c>
      <c r="L27" s="232" t="n">
        <v>14891.73</v>
      </c>
    </row>
    <row r="28">
      <c r="A28" s="244" t="inlineStr">
        <is>
          <t>P6</t>
        </is>
      </c>
      <c r="B28" s="245" t="n">
        <v>46545</v>
      </c>
      <c r="C28" s="235" t="n">
        <v>18613.5</v>
      </c>
      <c r="D28" s="235" t="n">
        <v>6142.45</v>
      </c>
      <c r="E28" s="235" t="n">
        <v>33125</v>
      </c>
      <c r="F28" s="235" t="n">
        <v>10931.25</v>
      </c>
      <c r="G28" s="235" t="n">
        <v>7439.75</v>
      </c>
      <c r="H28" s="235" t="n">
        <v>2455.12</v>
      </c>
      <c r="I28" s="235" t="n">
        <v>3333.5</v>
      </c>
      <c r="J28" s="235" t="n">
        <v>1100.06</v>
      </c>
      <c r="K28" s="235" t="n">
        <v>32094.25</v>
      </c>
      <c r="L28" s="235" t="n">
        <v>14891.73</v>
      </c>
    </row>
    <row r="29">
      <c r="A29" s="222" t="inlineStr">
        <is>
          <t>P7</t>
        </is>
      </c>
      <c r="B29" s="243" t="n">
        <v>46552</v>
      </c>
      <c r="C29" s="232" t="n">
        <v>17628.75</v>
      </c>
      <c r="D29" s="232" t="n">
        <v>5817.49</v>
      </c>
      <c r="E29" s="232" t="n">
        <v>35283.5</v>
      </c>
      <c r="F29" s="232" t="n">
        <v>11643.56</v>
      </c>
      <c r="G29" s="232" t="n">
        <v>7785.25</v>
      </c>
      <c r="H29" s="232" t="n">
        <v>2569.13</v>
      </c>
      <c r="I29" s="232" t="n">
        <v>3333.25</v>
      </c>
      <c r="J29" s="232" t="n">
        <v>1099.97</v>
      </c>
      <c r="K29" s="232" t="n">
        <v>36845</v>
      </c>
      <c r="L29" s="232" t="n">
        <v>17096.08</v>
      </c>
    </row>
    <row r="30">
      <c r="A30" s="222" t="inlineStr">
        <is>
          <t>P7</t>
        </is>
      </c>
      <c r="B30" s="243" t="n">
        <v>46559</v>
      </c>
      <c r="C30" s="232" t="n">
        <v>17628.75</v>
      </c>
      <c r="D30" s="232" t="n">
        <v>5817.49</v>
      </c>
      <c r="E30" s="232" t="n">
        <v>35283.5</v>
      </c>
      <c r="F30" s="232" t="n">
        <v>11643.56</v>
      </c>
      <c r="G30" s="232" t="n">
        <v>7785.25</v>
      </c>
      <c r="H30" s="232" t="n">
        <v>2569.13</v>
      </c>
      <c r="I30" s="232" t="n">
        <v>3333.25</v>
      </c>
      <c r="J30" s="232" t="n">
        <v>1099.97</v>
      </c>
      <c r="K30" s="232" t="n">
        <v>36845</v>
      </c>
      <c r="L30" s="232" t="n">
        <v>17096.08</v>
      </c>
    </row>
    <row r="31">
      <c r="A31" s="222" t="inlineStr">
        <is>
          <t>P7</t>
        </is>
      </c>
      <c r="B31" s="243" t="n">
        <v>46566</v>
      </c>
      <c r="C31" s="232" t="n">
        <v>17628.75</v>
      </c>
      <c r="D31" s="232" t="n">
        <v>5817.49</v>
      </c>
      <c r="E31" s="232" t="n">
        <v>35283.5</v>
      </c>
      <c r="F31" s="232" t="n">
        <v>11643.56</v>
      </c>
      <c r="G31" s="232" t="n">
        <v>7785.25</v>
      </c>
      <c r="H31" s="232" t="n">
        <v>2569.13</v>
      </c>
      <c r="I31" s="232" t="n">
        <v>3333.25</v>
      </c>
      <c r="J31" s="232" t="n">
        <v>1099.97</v>
      </c>
      <c r="K31" s="232" t="n">
        <v>36845</v>
      </c>
      <c r="L31" s="232" t="n">
        <v>17096.08</v>
      </c>
    </row>
    <row r="32">
      <c r="A32" s="244" t="inlineStr">
        <is>
          <t>P7</t>
        </is>
      </c>
      <c r="B32" s="245" t="n">
        <v>46573</v>
      </c>
      <c r="C32" s="235" t="n">
        <v>17628.75</v>
      </c>
      <c r="D32" s="235" t="n">
        <v>5817.49</v>
      </c>
      <c r="E32" s="235" t="n">
        <v>35283.5</v>
      </c>
      <c r="F32" s="235" t="n">
        <v>11643.56</v>
      </c>
      <c r="G32" s="235" t="n">
        <v>7785.25</v>
      </c>
      <c r="H32" s="235" t="n">
        <v>2569.13</v>
      </c>
      <c r="I32" s="235" t="n">
        <v>3333.25</v>
      </c>
      <c r="J32" s="235" t="n">
        <v>1099.97</v>
      </c>
      <c r="K32" s="235" t="n">
        <v>36845</v>
      </c>
      <c r="L32" s="235" t="n">
        <v>17096.08</v>
      </c>
    </row>
    <row r="33">
      <c r="A33" s="222" t="inlineStr">
        <is>
          <t>P8</t>
        </is>
      </c>
      <c r="B33" s="243" t="n">
        <v>46580</v>
      </c>
      <c r="C33" s="232" t="n">
        <v>20938</v>
      </c>
      <c r="D33" s="232" t="n">
        <v>6909.54</v>
      </c>
      <c r="E33" s="232" t="n">
        <v>41362.75</v>
      </c>
      <c r="F33" s="232" t="n">
        <v>13649.71</v>
      </c>
      <c r="G33" s="232" t="n">
        <v>8102.75</v>
      </c>
      <c r="H33" s="232" t="n">
        <v>2673.91</v>
      </c>
      <c r="I33" s="232" t="n">
        <v>3333.25</v>
      </c>
      <c r="J33" s="232" t="n">
        <v>1099.97</v>
      </c>
      <c r="K33" s="232" t="n">
        <v>38436.89</v>
      </c>
      <c r="L33" s="232" t="n">
        <v>17834.72</v>
      </c>
    </row>
    <row r="34">
      <c r="A34" s="222" t="inlineStr">
        <is>
          <t>P8</t>
        </is>
      </c>
      <c r="B34" s="243" t="n">
        <v>46587</v>
      </c>
      <c r="C34" s="232" t="n">
        <v>20938</v>
      </c>
      <c r="D34" s="232" t="n">
        <v>6909.54</v>
      </c>
      <c r="E34" s="232" t="n">
        <v>41362.75</v>
      </c>
      <c r="F34" s="232" t="n">
        <v>13649.71</v>
      </c>
      <c r="G34" s="232" t="n">
        <v>8102.75</v>
      </c>
      <c r="H34" s="232" t="n">
        <v>2673.91</v>
      </c>
      <c r="I34" s="232" t="n">
        <v>3333.25</v>
      </c>
      <c r="J34" s="232" t="n">
        <v>1099.97</v>
      </c>
      <c r="K34" s="232" t="n">
        <v>38436.89</v>
      </c>
      <c r="L34" s="232" t="n">
        <v>17834.72</v>
      </c>
    </row>
    <row r="35">
      <c r="A35" s="222" t="inlineStr">
        <is>
          <t>P8</t>
        </is>
      </c>
      <c r="B35" s="243" t="n">
        <v>46594</v>
      </c>
      <c r="C35" s="232" t="n">
        <v>20938</v>
      </c>
      <c r="D35" s="232" t="n">
        <v>6909.54</v>
      </c>
      <c r="E35" s="232" t="n">
        <v>41362.75</v>
      </c>
      <c r="F35" s="232" t="n">
        <v>13649.71</v>
      </c>
      <c r="G35" s="232" t="n">
        <v>8102.75</v>
      </c>
      <c r="H35" s="232" t="n">
        <v>2673.91</v>
      </c>
      <c r="I35" s="232" t="n">
        <v>3333.25</v>
      </c>
      <c r="J35" s="232" t="n">
        <v>1099.97</v>
      </c>
      <c r="K35" s="232" t="n">
        <v>38436.89</v>
      </c>
      <c r="L35" s="232" t="n">
        <v>17834.72</v>
      </c>
    </row>
    <row r="36">
      <c r="A36" s="244" t="inlineStr">
        <is>
          <t>P8</t>
        </is>
      </c>
      <c r="B36" s="245" t="n">
        <v>46601</v>
      </c>
      <c r="C36" s="235" t="n">
        <v>20938</v>
      </c>
      <c r="D36" s="235" t="n">
        <v>6909.54</v>
      </c>
      <c r="E36" s="235" t="n">
        <v>41362.75</v>
      </c>
      <c r="F36" s="235" t="n">
        <v>13649.71</v>
      </c>
      <c r="G36" s="235" t="n">
        <v>8102.75</v>
      </c>
      <c r="H36" s="235" t="n">
        <v>2673.91</v>
      </c>
      <c r="I36" s="235" t="n">
        <v>3333.25</v>
      </c>
      <c r="J36" s="235" t="n">
        <v>1099.97</v>
      </c>
      <c r="K36" s="235" t="n">
        <v>38436.89</v>
      </c>
      <c r="L36" s="235" t="n">
        <v>17834.72</v>
      </c>
    </row>
    <row r="37">
      <c r="A37" s="222" t="inlineStr">
        <is>
          <t>P9</t>
        </is>
      </c>
      <c r="B37" s="243" t="n">
        <v>46608</v>
      </c>
      <c r="C37" s="232" t="n">
        <v>19193.25</v>
      </c>
      <c r="D37" s="232" t="n">
        <v>6333.77</v>
      </c>
      <c r="E37" s="232" t="n">
        <v>37191</v>
      </c>
      <c r="F37" s="232" t="n">
        <v>12273.03</v>
      </c>
      <c r="G37" s="232" t="n">
        <v>7215.25</v>
      </c>
      <c r="H37" s="232" t="n">
        <v>2381.03</v>
      </c>
      <c r="I37" s="232" t="n">
        <v>3333.5</v>
      </c>
      <c r="J37" s="232" t="n">
        <v>1100.06</v>
      </c>
      <c r="K37" s="232" t="n">
        <v>34390.82</v>
      </c>
      <c r="L37" s="232" t="n">
        <v>15957.34</v>
      </c>
    </row>
    <row r="38">
      <c r="A38" s="222" t="inlineStr">
        <is>
          <t>P9</t>
        </is>
      </c>
      <c r="B38" s="243" t="n">
        <v>46615</v>
      </c>
      <c r="C38" s="232" t="n">
        <v>19193.25</v>
      </c>
      <c r="D38" s="232" t="n">
        <v>6333.77</v>
      </c>
      <c r="E38" s="232" t="n">
        <v>37191</v>
      </c>
      <c r="F38" s="232" t="n">
        <v>12273.03</v>
      </c>
      <c r="G38" s="232" t="n">
        <v>7215.25</v>
      </c>
      <c r="H38" s="232" t="n">
        <v>2381.03</v>
      </c>
      <c r="I38" s="232" t="n">
        <v>3333.5</v>
      </c>
      <c r="J38" s="232" t="n">
        <v>1100.06</v>
      </c>
      <c r="K38" s="232" t="n">
        <v>34390.82</v>
      </c>
      <c r="L38" s="232" t="n">
        <v>15957.34</v>
      </c>
    </row>
    <row r="39">
      <c r="A39" s="222" t="inlineStr">
        <is>
          <t>P9</t>
        </is>
      </c>
      <c r="B39" s="243" t="n">
        <v>46622</v>
      </c>
      <c r="C39" s="232" t="n">
        <v>19193.25</v>
      </c>
      <c r="D39" s="232" t="n">
        <v>6333.77</v>
      </c>
      <c r="E39" s="232" t="n">
        <v>37191</v>
      </c>
      <c r="F39" s="232" t="n">
        <v>12273.03</v>
      </c>
      <c r="G39" s="232" t="n">
        <v>7215.25</v>
      </c>
      <c r="H39" s="232" t="n">
        <v>2381.03</v>
      </c>
      <c r="I39" s="232" t="n">
        <v>3333.5</v>
      </c>
      <c r="J39" s="232" t="n">
        <v>1100.06</v>
      </c>
      <c r="K39" s="232" t="n">
        <v>34390.82</v>
      </c>
      <c r="L39" s="232" t="n">
        <v>15957.34</v>
      </c>
    </row>
    <row r="40">
      <c r="A40" s="244" t="inlineStr">
        <is>
          <t>P9</t>
        </is>
      </c>
      <c r="B40" s="245" t="n">
        <v>46629</v>
      </c>
      <c r="C40" s="235" t="n">
        <v>19193.25</v>
      </c>
      <c r="D40" s="235" t="n">
        <v>6333.77</v>
      </c>
      <c r="E40" s="235" t="n">
        <v>37191</v>
      </c>
      <c r="F40" s="235" t="n">
        <v>12273.03</v>
      </c>
      <c r="G40" s="235" t="n">
        <v>7215.25</v>
      </c>
      <c r="H40" s="235" t="n">
        <v>2381.03</v>
      </c>
      <c r="I40" s="235" t="n">
        <v>3333.5</v>
      </c>
      <c r="J40" s="235" t="n">
        <v>1100.06</v>
      </c>
      <c r="K40" s="235" t="n">
        <v>34390.82</v>
      </c>
      <c r="L40" s="235" t="n">
        <v>15957.34</v>
      </c>
    </row>
    <row r="41">
      <c r="A41" s="222" t="inlineStr">
        <is>
          <t>P10</t>
        </is>
      </c>
      <c r="B41" s="243" t="n">
        <v>46636</v>
      </c>
      <c r="C41" s="232" t="n">
        <v>22029.5</v>
      </c>
      <c r="D41" s="232" t="n">
        <v>7269.73</v>
      </c>
      <c r="E41" s="232" t="n">
        <v>42056.5</v>
      </c>
      <c r="F41" s="232" t="n">
        <v>13878.65</v>
      </c>
      <c r="G41" s="232" t="n">
        <v>5436</v>
      </c>
      <c r="H41" s="232" t="n">
        <v>1793.88</v>
      </c>
      <c r="I41" s="232" t="n">
        <v>2500</v>
      </c>
      <c r="J41" s="232" t="n">
        <v>825</v>
      </c>
      <c r="K41" s="232" t="n">
        <v>40305.54</v>
      </c>
      <c r="L41" s="232" t="n">
        <v>18701.77</v>
      </c>
    </row>
    <row r="42">
      <c r="A42" s="222" t="inlineStr">
        <is>
          <t>P10</t>
        </is>
      </c>
      <c r="B42" s="243" t="n">
        <v>46643</v>
      </c>
      <c r="C42" s="232" t="n">
        <v>22029.5</v>
      </c>
      <c r="D42" s="232" t="n">
        <v>7269.73</v>
      </c>
      <c r="E42" s="232" t="n">
        <v>42056.5</v>
      </c>
      <c r="F42" s="232" t="n">
        <v>13878.65</v>
      </c>
      <c r="G42" s="232" t="n">
        <v>5436</v>
      </c>
      <c r="H42" s="232" t="n">
        <v>1793.88</v>
      </c>
      <c r="I42" s="232" t="n">
        <v>2500</v>
      </c>
      <c r="J42" s="232" t="n">
        <v>825</v>
      </c>
      <c r="K42" s="232" t="n">
        <v>40305.54</v>
      </c>
      <c r="L42" s="232" t="n">
        <v>18701.77</v>
      </c>
    </row>
    <row r="43">
      <c r="A43" s="222" t="inlineStr">
        <is>
          <t>P10</t>
        </is>
      </c>
      <c r="B43" s="243" t="n">
        <v>46650</v>
      </c>
      <c r="C43" s="232" t="n">
        <v>22029.5</v>
      </c>
      <c r="D43" s="232" t="n">
        <v>7269.73</v>
      </c>
      <c r="E43" s="232" t="n">
        <v>42056.5</v>
      </c>
      <c r="F43" s="232" t="n">
        <v>13878.65</v>
      </c>
      <c r="G43" s="232" t="n">
        <v>5436</v>
      </c>
      <c r="H43" s="232" t="n">
        <v>1793.88</v>
      </c>
      <c r="I43" s="232" t="n">
        <v>2500</v>
      </c>
      <c r="J43" s="232" t="n">
        <v>825</v>
      </c>
      <c r="K43" s="232" t="n">
        <v>40305.54</v>
      </c>
      <c r="L43" s="232" t="n">
        <v>18701.77</v>
      </c>
    </row>
    <row r="44">
      <c r="A44" s="244" t="inlineStr">
        <is>
          <t>P10</t>
        </is>
      </c>
      <c r="B44" s="245" t="n">
        <v>46657</v>
      </c>
      <c r="C44" s="235" t="n">
        <v>22029.5</v>
      </c>
      <c r="D44" s="235" t="n">
        <v>7269.73</v>
      </c>
      <c r="E44" s="235" t="n">
        <v>42056.5</v>
      </c>
      <c r="F44" s="235" t="n">
        <v>13878.65</v>
      </c>
      <c r="G44" s="235" t="n">
        <v>5436</v>
      </c>
      <c r="H44" s="235" t="n">
        <v>1793.88</v>
      </c>
      <c r="I44" s="235" t="n">
        <v>2500</v>
      </c>
      <c r="J44" s="235" t="n">
        <v>825</v>
      </c>
      <c r="K44" s="235" t="n">
        <v>40305.54</v>
      </c>
      <c r="L44" s="235" t="n">
        <v>18701.77</v>
      </c>
    </row>
    <row r="45">
      <c r="A45" s="222" t="inlineStr">
        <is>
          <t>P11</t>
        </is>
      </c>
      <c r="B45" s="243" t="n">
        <v>46664</v>
      </c>
      <c r="C45" s="232" t="n">
        <v>21457.5</v>
      </c>
      <c r="D45" s="232" t="n">
        <v>7080.98</v>
      </c>
      <c r="E45" s="232" t="n">
        <v>42056.5</v>
      </c>
      <c r="F45" s="232" t="n">
        <v>13878.65</v>
      </c>
      <c r="G45" s="232" t="n">
        <v>5436</v>
      </c>
      <c r="H45" s="232" t="n">
        <v>1793.88</v>
      </c>
      <c r="I45" s="232" t="n">
        <v>2500</v>
      </c>
      <c r="J45" s="232" t="n">
        <v>825</v>
      </c>
      <c r="K45" s="232" t="n">
        <v>37022.83</v>
      </c>
      <c r="L45" s="232" t="n">
        <v>17178.6</v>
      </c>
    </row>
    <row r="46">
      <c r="A46" s="222" t="inlineStr">
        <is>
          <t>P11</t>
        </is>
      </c>
      <c r="B46" s="243" t="n">
        <v>46671</v>
      </c>
      <c r="C46" s="232" t="n">
        <v>21457.5</v>
      </c>
      <c r="D46" s="232" t="n">
        <v>7080.98</v>
      </c>
      <c r="E46" s="232" t="n">
        <v>42056.5</v>
      </c>
      <c r="F46" s="232" t="n">
        <v>13878.65</v>
      </c>
      <c r="G46" s="232" t="n">
        <v>5436</v>
      </c>
      <c r="H46" s="232" t="n">
        <v>1793.88</v>
      </c>
      <c r="I46" s="232" t="n">
        <v>2500</v>
      </c>
      <c r="J46" s="232" t="n">
        <v>825</v>
      </c>
      <c r="K46" s="232" t="n">
        <v>37022.83</v>
      </c>
      <c r="L46" s="232" t="n">
        <v>17178.6</v>
      </c>
    </row>
    <row r="47">
      <c r="A47" s="222" t="inlineStr">
        <is>
          <t>P11</t>
        </is>
      </c>
      <c r="B47" s="243" t="n">
        <v>46678</v>
      </c>
      <c r="C47" s="232" t="n">
        <v>21457.5</v>
      </c>
      <c r="D47" s="232" t="n">
        <v>7080.98</v>
      </c>
      <c r="E47" s="232" t="n">
        <v>42056.5</v>
      </c>
      <c r="F47" s="232" t="n">
        <v>13878.65</v>
      </c>
      <c r="G47" s="232" t="n">
        <v>5436</v>
      </c>
      <c r="H47" s="232" t="n">
        <v>1793.88</v>
      </c>
      <c r="I47" s="232" t="n">
        <v>2500</v>
      </c>
      <c r="J47" s="232" t="n">
        <v>825</v>
      </c>
      <c r="K47" s="232" t="n">
        <v>37022.83</v>
      </c>
      <c r="L47" s="232" t="n">
        <v>17178.6</v>
      </c>
    </row>
    <row r="48">
      <c r="A48" s="244" t="inlineStr">
        <is>
          <t>P11</t>
        </is>
      </c>
      <c r="B48" s="245" t="n">
        <v>46685</v>
      </c>
      <c r="C48" s="235" t="n">
        <v>21457.5</v>
      </c>
      <c r="D48" s="235" t="n">
        <v>7080.98</v>
      </c>
      <c r="E48" s="235" t="n">
        <v>42056.5</v>
      </c>
      <c r="F48" s="235" t="n">
        <v>13878.65</v>
      </c>
      <c r="G48" s="235" t="n">
        <v>5436</v>
      </c>
      <c r="H48" s="235" t="n">
        <v>1793.88</v>
      </c>
      <c r="I48" s="235" t="n">
        <v>2500</v>
      </c>
      <c r="J48" s="235" t="n">
        <v>825</v>
      </c>
      <c r="K48" s="235" t="n">
        <v>37022.83</v>
      </c>
      <c r="L48" s="235" t="n">
        <v>17178.6</v>
      </c>
    </row>
    <row r="49">
      <c r="A49" s="222" t="inlineStr">
        <is>
          <t>P12</t>
        </is>
      </c>
      <c r="B49" s="243" t="n">
        <v>46692</v>
      </c>
      <c r="C49" s="232" t="n">
        <v>15735.5</v>
      </c>
      <c r="D49" s="232" t="n">
        <v>5192.72</v>
      </c>
      <c r="E49" s="232" t="n">
        <v>30641.25</v>
      </c>
      <c r="F49" s="232" t="n">
        <v>10111.61</v>
      </c>
      <c r="G49" s="232" t="n">
        <v>5436</v>
      </c>
      <c r="H49" s="232" t="n">
        <v>1793.88</v>
      </c>
      <c r="I49" s="232" t="n">
        <v>2500</v>
      </c>
      <c r="J49" s="232" t="n">
        <v>825</v>
      </c>
      <c r="K49" s="232" t="n">
        <v>14931.38</v>
      </c>
      <c r="L49" s="232" t="n">
        <v>6928.16</v>
      </c>
    </row>
    <row r="50">
      <c r="A50" s="222" t="inlineStr">
        <is>
          <t>P12</t>
        </is>
      </c>
      <c r="B50" s="243" t="n">
        <v>46699</v>
      </c>
      <c r="C50" s="232" t="n">
        <v>15735.5</v>
      </c>
      <c r="D50" s="232" t="n">
        <v>5192.72</v>
      </c>
      <c r="E50" s="232" t="n">
        <v>30641.25</v>
      </c>
      <c r="F50" s="232" t="n">
        <v>10111.61</v>
      </c>
      <c r="G50" s="232" t="n">
        <v>5436</v>
      </c>
      <c r="H50" s="232" t="n">
        <v>1793.88</v>
      </c>
      <c r="I50" s="232" t="n">
        <v>2500</v>
      </c>
      <c r="J50" s="232" t="n">
        <v>825</v>
      </c>
      <c r="K50" s="232" t="n">
        <v>14931.38</v>
      </c>
      <c r="L50" s="232" t="n">
        <v>6928.16</v>
      </c>
    </row>
    <row r="51">
      <c r="A51" s="222" t="inlineStr">
        <is>
          <t>P12</t>
        </is>
      </c>
      <c r="B51" s="243" t="n">
        <v>46706</v>
      </c>
      <c r="C51" s="232" t="n">
        <v>15735.5</v>
      </c>
      <c r="D51" s="232" t="n">
        <v>5192.72</v>
      </c>
      <c r="E51" s="232" t="n">
        <v>30641.25</v>
      </c>
      <c r="F51" s="232" t="n">
        <v>10111.61</v>
      </c>
      <c r="G51" s="232" t="n">
        <v>5436</v>
      </c>
      <c r="H51" s="232" t="n">
        <v>1793.88</v>
      </c>
      <c r="I51" s="232" t="n">
        <v>2500</v>
      </c>
      <c r="J51" s="232" t="n">
        <v>825</v>
      </c>
      <c r="K51" s="232" t="n">
        <v>14931.38</v>
      </c>
      <c r="L51" s="232" t="n">
        <v>6928.16</v>
      </c>
    </row>
    <row r="52">
      <c r="A52" s="244" t="inlineStr">
        <is>
          <t>P12</t>
        </is>
      </c>
      <c r="B52" s="245" t="n">
        <v>46713</v>
      </c>
      <c r="C52" s="235" t="n">
        <v>15735.5</v>
      </c>
      <c r="D52" s="235" t="n">
        <v>5192.72</v>
      </c>
      <c r="E52" s="235" t="n">
        <v>30641.25</v>
      </c>
      <c r="F52" s="235" t="n">
        <v>10111.61</v>
      </c>
      <c r="G52" s="235" t="n">
        <v>5436</v>
      </c>
      <c r="H52" s="235" t="n">
        <v>1793.88</v>
      </c>
      <c r="I52" s="235" t="n">
        <v>2500</v>
      </c>
      <c r="J52" s="235" t="n">
        <v>825</v>
      </c>
      <c r="K52" s="235" t="n">
        <v>14931.38</v>
      </c>
      <c r="L52" s="235" t="n">
        <v>6928.16</v>
      </c>
    </row>
    <row r="53">
      <c r="A53" s="222" t="inlineStr">
        <is>
          <t>P13</t>
        </is>
      </c>
      <c r="B53" s="243" t="n">
        <v>46720</v>
      </c>
      <c r="C53" s="232" t="n">
        <v>17166</v>
      </c>
      <c r="D53" s="232" t="n">
        <v>5664.78</v>
      </c>
      <c r="E53" s="232" t="n">
        <v>33044.5</v>
      </c>
      <c r="F53" s="232" t="n">
        <v>10904.68</v>
      </c>
      <c r="G53" s="232" t="n">
        <v>5436</v>
      </c>
      <c r="H53" s="232" t="n">
        <v>1793.88</v>
      </c>
      <c r="I53" s="232" t="n">
        <v>2500</v>
      </c>
      <c r="J53" s="232" t="n">
        <v>825</v>
      </c>
      <c r="K53" s="232" t="n">
        <v>15324.31</v>
      </c>
      <c r="L53" s="232" t="n">
        <v>7110.48</v>
      </c>
    </row>
    <row r="54">
      <c r="A54" s="222" t="inlineStr">
        <is>
          <t>P13</t>
        </is>
      </c>
      <c r="B54" s="243" t="n">
        <v>46727</v>
      </c>
      <c r="C54" s="232" t="n">
        <v>17166</v>
      </c>
      <c r="D54" s="232" t="n">
        <v>5664.78</v>
      </c>
      <c r="E54" s="232" t="n">
        <v>33044.5</v>
      </c>
      <c r="F54" s="232" t="n">
        <v>10904.68</v>
      </c>
      <c r="G54" s="232" t="n">
        <v>5436</v>
      </c>
      <c r="H54" s="232" t="n">
        <v>1793.88</v>
      </c>
      <c r="I54" s="232" t="n">
        <v>2500</v>
      </c>
      <c r="J54" s="232" t="n">
        <v>825</v>
      </c>
      <c r="K54" s="232" t="n">
        <v>15324.31</v>
      </c>
      <c r="L54" s="232" t="n">
        <v>7110.48</v>
      </c>
    </row>
    <row r="55">
      <c r="A55" s="222" t="inlineStr">
        <is>
          <t>P13</t>
        </is>
      </c>
      <c r="B55" s="243" t="n">
        <v>46734</v>
      </c>
      <c r="C55" s="232" t="n">
        <v>17166</v>
      </c>
      <c r="D55" s="232" t="n">
        <v>5664.78</v>
      </c>
      <c r="E55" s="232" t="n">
        <v>33044.5</v>
      </c>
      <c r="F55" s="232" t="n">
        <v>10904.68</v>
      </c>
      <c r="G55" s="232" t="n">
        <v>5436</v>
      </c>
      <c r="H55" s="232" t="n">
        <v>1793.88</v>
      </c>
      <c r="I55" s="232" t="n">
        <v>2500</v>
      </c>
      <c r="J55" s="232" t="n">
        <v>825</v>
      </c>
      <c r="K55" s="232" t="n">
        <v>15324.31</v>
      </c>
      <c r="L55" s="232" t="n">
        <v>7110.48</v>
      </c>
    </row>
    <row r="56">
      <c r="A56" s="244" t="inlineStr">
        <is>
          <t>P13</t>
        </is>
      </c>
      <c r="B56" s="245" t="n">
        <v>46741</v>
      </c>
      <c r="C56" s="235" t="n">
        <v>17166</v>
      </c>
      <c r="D56" s="235" t="n">
        <v>5664.78</v>
      </c>
      <c r="E56" s="235" t="n">
        <v>33044.5</v>
      </c>
      <c r="F56" s="235" t="n">
        <v>10904.68</v>
      </c>
      <c r="G56" s="235" t="n">
        <v>5436</v>
      </c>
      <c r="H56" s="235" t="n">
        <v>1793.88</v>
      </c>
      <c r="I56" s="235" t="n">
        <v>2500</v>
      </c>
      <c r="J56" s="235" t="n">
        <v>825</v>
      </c>
      <c r="K56" s="235" t="n">
        <v>15324.31</v>
      </c>
      <c r="L56" s="235" t="n">
        <v>7110.48</v>
      </c>
    </row>
    <row r="58">
      <c r="A58" s="223" t="inlineStr">
        <is>
          <t>YEAR</t>
        </is>
      </c>
      <c r="B58" s="223" t="inlineStr"/>
      <c r="C58" s="233" t="n">
        <v>925929</v>
      </c>
      <c r="D58" s="233" t="n">
        <v>305556.57</v>
      </c>
      <c r="E58" s="233" t="n">
        <v>1738615</v>
      </c>
      <c r="F58" s="233" t="n">
        <v>573742.95</v>
      </c>
      <c r="G58" s="233" t="n">
        <v>317517</v>
      </c>
      <c r="H58" s="233" t="n">
        <v>104780.61</v>
      </c>
      <c r="I58" s="233" t="n">
        <v>160000</v>
      </c>
      <c r="J58" s="233" t="n">
        <v>52800</v>
      </c>
      <c r="K58" s="233" t="n">
        <v>1309443.91</v>
      </c>
      <c r="L58" s="233" t="n">
        <v>607581.98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AC12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9.28515625" customWidth="1" min="1" max="1"/>
    <col width="15.140625" customWidth="1" min="2" max="2"/>
    <col width="14" customWidth="1" min="4" max="4"/>
    <col width="13.42578125" customWidth="1" min="6" max="6"/>
    <col width="13" customWidth="1" min="9" max="9"/>
    <col width="13.42578125" customWidth="1" min="10" max="10"/>
    <col width="13.28515625" customWidth="1" min="11" max="11"/>
    <col width="13.42578125" customWidth="1" min="12" max="12"/>
    <col width="13.28515625" customWidth="1" min="13" max="13"/>
    <col width="13.42578125" customWidth="1" min="14" max="14"/>
    <col width="13" customWidth="1" min="15" max="15"/>
    <col width="12.7109375" customWidth="1" min="16" max="16"/>
    <col width="13" customWidth="1" min="17" max="17"/>
    <col width="12.7109375" customWidth="1" min="18" max="18"/>
    <col width="13" customWidth="1" min="19" max="19"/>
    <col width="12.140625" customWidth="1" min="20" max="20"/>
    <col width="13" customWidth="1" min="21" max="21"/>
    <col width="12.140625" customWidth="1" min="22" max="22"/>
    <col width="11.7109375" customWidth="1" min="23" max="23"/>
    <col width="12.140625" customWidth="1" min="24" max="24"/>
    <col width="11.7109375" customWidth="1" min="25" max="25"/>
    <col width="12.140625" customWidth="1" min="26" max="26"/>
    <col width="11.7109375" customWidth="1" min="27" max="27"/>
    <col width="12.140625" customWidth="1" min="28" max="28"/>
    <col width="11.7109375" customWidth="1" min="29" max="29"/>
  </cols>
  <sheetData>
    <row r="1">
      <c r="A1" s="70" t="inlineStr">
        <is>
          <t>COMPANY INCOME STATEMENT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  <c r="N1" s="71" t="n"/>
      <c r="O1" s="71" t="n"/>
      <c r="P1" s="71" t="n"/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2" t="n"/>
    </row>
    <row r="2">
      <c r="A2" s="73" t="inlineStr">
        <is>
          <t>Unbridled Hospitality Group</t>
        </is>
      </c>
      <c r="AC2" s="74" t="n"/>
    </row>
    <row r="3">
      <c r="A3" s="75" t="inlineStr">
        <is>
          <t>Period 13 of 2027 ending on 12/26/2027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6" t="n"/>
      <c r="AA3" s="76" t="n"/>
      <c r="AB3" s="76" t="n"/>
      <c r="AC3" s="77" t="n"/>
    </row>
    <row r="4">
      <c r="B4" s="78" t="inlineStr">
        <is>
          <t>TOTAL</t>
        </is>
      </c>
      <c r="C4" s="72" t="n"/>
      <c r="D4" s="79" t="n">
        <v>46411</v>
      </c>
      <c r="E4" s="72" t="n"/>
      <c r="F4" s="80">
        <f>+D4+28</f>
        <v/>
      </c>
      <c r="G4" s="72" t="n"/>
      <c r="H4" s="79">
        <f>+F4+28</f>
        <v/>
      </c>
      <c r="I4" s="72" t="n"/>
      <c r="J4" s="80">
        <f>+H4+28</f>
        <v/>
      </c>
      <c r="K4" s="72" t="n"/>
      <c r="L4" s="79">
        <f>+J4+28</f>
        <v/>
      </c>
      <c r="M4" s="72" t="n"/>
      <c r="N4" s="80">
        <f>+L4+28</f>
        <v/>
      </c>
      <c r="O4" s="72" t="n"/>
      <c r="P4" s="79">
        <f>+N4+28</f>
        <v/>
      </c>
      <c r="Q4" s="72" t="n"/>
      <c r="R4" s="80">
        <f>+P4+28</f>
        <v/>
      </c>
      <c r="S4" s="72" t="n"/>
      <c r="T4" s="79">
        <f>+R4+28</f>
        <v/>
      </c>
      <c r="U4" s="72" t="n"/>
      <c r="V4" s="80">
        <f>+T4+28</f>
        <v/>
      </c>
      <c r="W4" s="72" t="n"/>
      <c r="X4" s="79">
        <f>+V4+28</f>
        <v/>
      </c>
      <c r="Y4" s="72" t="n"/>
      <c r="Z4" s="80">
        <f>+X4+28</f>
        <v/>
      </c>
      <c r="AA4" s="72" t="n"/>
      <c r="AB4" s="79">
        <f>+Z4+28</f>
        <v/>
      </c>
      <c r="AC4" s="72" t="n"/>
    </row>
    <row r="5">
      <c r="B5" s="81" t="n"/>
      <c r="C5" s="82" t="n"/>
      <c r="D5" s="83" t="inlineStr">
        <is>
          <t>Period 1</t>
        </is>
      </c>
      <c r="E5" s="74" t="n"/>
      <c r="F5" s="84" t="inlineStr">
        <is>
          <t>Period  2</t>
        </is>
      </c>
      <c r="G5" s="74" t="n"/>
      <c r="H5" s="83" t="inlineStr">
        <is>
          <t>Period 3</t>
        </is>
      </c>
      <c r="I5" s="74" t="n"/>
      <c r="J5" s="84" t="inlineStr">
        <is>
          <t>Period 4</t>
        </is>
      </c>
      <c r="K5" s="74" t="n"/>
      <c r="L5" s="83" t="inlineStr">
        <is>
          <t>Period 5</t>
        </is>
      </c>
      <c r="M5" s="74" t="n"/>
      <c r="N5" s="84" t="inlineStr">
        <is>
          <t>Period 6</t>
        </is>
      </c>
      <c r="O5" s="74" t="n"/>
      <c r="P5" s="83" t="inlineStr">
        <is>
          <t>Period 7</t>
        </is>
      </c>
      <c r="Q5" s="74" t="n"/>
      <c r="R5" s="84" t="inlineStr">
        <is>
          <t>Period 8</t>
        </is>
      </c>
      <c r="S5" s="74" t="n"/>
      <c r="T5" s="83" t="inlineStr">
        <is>
          <t>Period 9</t>
        </is>
      </c>
      <c r="U5" s="74" t="n"/>
      <c r="V5" s="84" t="inlineStr">
        <is>
          <t xml:space="preserve">Period 10 </t>
        </is>
      </c>
      <c r="W5" s="74" t="n"/>
      <c r="X5" s="83" t="inlineStr">
        <is>
          <t>Period 11</t>
        </is>
      </c>
      <c r="Y5" s="74" t="n"/>
      <c r="Z5" s="84" t="inlineStr">
        <is>
          <t>Period 12</t>
        </is>
      </c>
      <c r="AA5" s="74" t="n"/>
      <c r="AB5" s="83" t="inlineStr">
        <is>
          <t>Period 13</t>
        </is>
      </c>
      <c r="AC5" s="74" t="n"/>
    </row>
    <row r="6">
      <c r="A6" s="85" t="n"/>
      <c r="B6" s="86" t="inlineStr">
        <is>
          <t>Budget</t>
        </is>
      </c>
      <c r="C6" s="87" t="inlineStr">
        <is>
          <t>Actual</t>
        </is>
      </c>
      <c r="D6" s="88" t="inlineStr">
        <is>
          <t>Budget</t>
        </is>
      </c>
      <c r="E6" s="89" t="inlineStr">
        <is>
          <t>Actual</t>
        </is>
      </c>
      <c r="F6" s="86" t="inlineStr">
        <is>
          <t>Budget</t>
        </is>
      </c>
      <c r="G6" s="87" t="inlineStr">
        <is>
          <t>Actual</t>
        </is>
      </c>
      <c r="H6" s="88" t="inlineStr">
        <is>
          <t>Budget</t>
        </is>
      </c>
      <c r="I6" s="89" t="inlineStr">
        <is>
          <t>Actual</t>
        </is>
      </c>
      <c r="J6" s="86" t="inlineStr">
        <is>
          <t>Budget</t>
        </is>
      </c>
      <c r="K6" s="87" t="inlineStr">
        <is>
          <t>Actual</t>
        </is>
      </c>
      <c r="L6" s="88" t="inlineStr">
        <is>
          <t>Budget</t>
        </is>
      </c>
      <c r="M6" s="89" t="inlineStr">
        <is>
          <t>Actual</t>
        </is>
      </c>
      <c r="N6" s="86" t="inlineStr">
        <is>
          <t>Budget</t>
        </is>
      </c>
      <c r="O6" s="87" t="inlineStr">
        <is>
          <t>Actual</t>
        </is>
      </c>
      <c r="P6" s="88" t="inlineStr">
        <is>
          <t>Budget</t>
        </is>
      </c>
      <c r="Q6" s="89" t="inlineStr">
        <is>
          <t>Actual</t>
        </is>
      </c>
      <c r="R6" s="86" t="inlineStr">
        <is>
          <t>Budget</t>
        </is>
      </c>
      <c r="S6" s="87" t="inlineStr">
        <is>
          <t>Actual</t>
        </is>
      </c>
      <c r="T6" s="88" t="inlineStr">
        <is>
          <t>Budget</t>
        </is>
      </c>
      <c r="U6" s="89" t="inlineStr">
        <is>
          <t>Actual</t>
        </is>
      </c>
      <c r="V6" s="86" t="inlineStr">
        <is>
          <t>Budget</t>
        </is>
      </c>
      <c r="W6" s="87" t="inlineStr">
        <is>
          <t>Actual</t>
        </is>
      </c>
      <c r="X6" s="88" t="inlineStr">
        <is>
          <t>Budget</t>
        </is>
      </c>
      <c r="Y6" s="89" t="inlineStr">
        <is>
          <t>Actual</t>
        </is>
      </c>
      <c r="Z6" s="90" t="inlineStr">
        <is>
          <t>Budget</t>
        </is>
      </c>
      <c r="AA6" s="87" t="inlineStr">
        <is>
          <t>Actual</t>
        </is>
      </c>
      <c r="AB6" s="88" t="inlineStr">
        <is>
          <t>Budget</t>
        </is>
      </c>
      <c r="AC6" s="89" t="inlineStr">
        <is>
          <t>Actual</t>
        </is>
      </c>
    </row>
    <row r="7">
      <c r="A7" s="91" t="inlineStr">
        <is>
          <t>Catering &amp; Events</t>
        </is>
      </c>
      <c r="B7" s="92" t="n"/>
      <c r="C7" s="93" t="n"/>
      <c r="D7" s="94" t="n"/>
      <c r="E7" s="93" t="n"/>
      <c r="F7" s="94" t="n"/>
      <c r="G7" s="93" t="n"/>
      <c r="H7" s="94" t="n"/>
      <c r="I7" s="93" t="n"/>
      <c r="J7" s="94" t="n"/>
      <c r="K7" s="93" t="n"/>
      <c r="L7" s="94" t="n"/>
      <c r="M7" s="93" t="n"/>
      <c r="N7" s="94" t="n"/>
      <c r="O7" s="93" t="n"/>
      <c r="P7" s="94" t="n"/>
      <c r="Q7" s="93" t="n"/>
      <c r="R7" s="94" t="n"/>
      <c r="S7" s="93" t="n"/>
      <c r="T7" s="94" t="n"/>
      <c r="U7" s="93" t="n"/>
      <c r="V7" s="94" t="n"/>
      <c r="W7" s="93" t="n"/>
      <c r="X7" s="94" t="n"/>
      <c r="Y7" s="93" t="n"/>
      <c r="Z7" s="94" t="n"/>
      <c r="AA7" s="93" t="n"/>
      <c r="AB7" s="94" t="n"/>
      <c r="AC7" s="93" t="n"/>
    </row>
    <row r="8">
      <c r="A8" s="95" t="inlineStr">
        <is>
          <t xml:space="preserve">   Event Income</t>
        </is>
      </c>
      <c r="B8" s="94" t="n"/>
      <c r="C8" s="96" t="n"/>
      <c r="D8" s="97" t="n">
        <v>0</v>
      </c>
      <c r="E8" s="96" t="n"/>
      <c r="F8" s="97" t="n">
        <v>0</v>
      </c>
      <c r="G8" s="96" t="n"/>
      <c r="H8" s="97" t="n">
        <v>0</v>
      </c>
      <c r="I8" s="96" t="n"/>
      <c r="J8" s="97" t="n">
        <v>0</v>
      </c>
      <c r="K8" s="96" t="n"/>
      <c r="L8" s="97" t="n">
        <v>0</v>
      </c>
      <c r="M8" s="96" t="n"/>
      <c r="N8" s="97" t="n">
        <v>0</v>
      </c>
      <c r="O8" s="96" t="n"/>
      <c r="P8" s="97" t="n">
        <v>0</v>
      </c>
      <c r="Q8" s="96" t="n"/>
      <c r="R8" s="97" t="n">
        <v>0</v>
      </c>
      <c r="S8" s="96" t="n"/>
      <c r="T8" s="97" t="n">
        <v>0</v>
      </c>
      <c r="U8" s="96" t="n"/>
      <c r="V8" s="97" t="n">
        <v>0</v>
      </c>
      <c r="W8" s="96" t="n"/>
      <c r="X8" s="97" t="n">
        <v>0</v>
      </c>
      <c r="Y8" s="96" t="n"/>
      <c r="Z8" s="97" t="n">
        <v>0</v>
      </c>
      <c r="AA8" s="96" t="n"/>
      <c r="AB8" s="97" t="n">
        <v>0</v>
      </c>
      <c r="AC8" s="96" t="n"/>
    </row>
    <row r="9">
      <c r="A9" s="98" t="inlineStr">
        <is>
          <t xml:space="preserve">      Client Discounts/Refunds</t>
        </is>
      </c>
      <c r="B9" s="99" t="n"/>
      <c r="C9" s="100" t="n"/>
      <c r="D9" s="97" t="n">
        <v>0</v>
      </c>
      <c r="E9" s="100" t="n"/>
      <c r="F9" s="97" t="n">
        <v>0</v>
      </c>
      <c r="G9" s="100" t="n"/>
      <c r="H9" s="97" t="n">
        <v>0</v>
      </c>
      <c r="I9" s="100" t="n"/>
      <c r="J9" s="97" t="n">
        <v>0</v>
      </c>
      <c r="K9" s="100" t="n"/>
      <c r="L9" s="97" t="n">
        <v>0</v>
      </c>
      <c r="M9" s="100" t="n"/>
      <c r="N9" s="97" t="n"/>
      <c r="O9" s="100" t="n"/>
      <c r="P9" s="97" t="n">
        <v>0</v>
      </c>
      <c r="Q9" s="100" t="n"/>
      <c r="R9" s="97" t="n">
        <v>0</v>
      </c>
      <c r="S9" s="100" t="n"/>
      <c r="T9" s="97" t="n">
        <v>0</v>
      </c>
      <c r="U9" s="100" t="n"/>
      <c r="V9" s="97" t="n">
        <v>0</v>
      </c>
      <c r="W9" s="100" t="n"/>
      <c r="X9" s="97" t="n">
        <v>0</v>
      </c>
      <c r="Y9" s="100" t="n"/>
      <c r="Z9" s="97" t="n">
        <v>0</v>
      </c>
      <c r="AA9" s="100" t="n"/>
      <c r="AB9" s="97" t="n">
        <v>0</v>
      </c>
      <c r="AC9" s="100" t="n"/>
    </row>
    <row r="10">
      <c r="A10" s="246" t="inlineStr">
        <is>
          <t xml:space="preserve">      Special Event Income</t>
        </is>
      </c>
      <c r="B10" s="247">
        <f>SUM(D10,F10,H10,J10,L10,N10,P10,R10,T10,V10,X10,Z10,AB10)</f>
        <v/>
      </c>
      <c r="C10" s="248">
        <f>SUM(E10,G10,I10,K10,M10,O10,Q10,S10,U10,W10,Y10,AA10,AC10)</f>
        <v/>
      </c>
      <c r="D10" s="249" t="n">
        <v>13333</v>
      </c>
      <c r="E10" s="248" t="n"/>
      <c r="F10" s="249" t="n">
        <v>13333</v>
      </c>
      <c r="G10" s="248" t="n"/>
      <c r="H10" s="249" t="n">
        <v>13334</v>
      </c>
      <c r="I10" s="248" t="n"/>
      <c r="J10" s="249" t="n">
        <v>13333</v>
      </c>
      <c r="K10" s="248" t="n"/>
      <c r="L10" s="249" t="n">
        <v>13333</v>
      </c>
      <c r="M10" s="248" t="n"/>
      <c r="N10" s="249" t="n">
        <v>13334</v>
      </c>
      <c r="O10" s="248" t="n"/>
      <c r="P10" s="249" t="n">
        <v>13333</v>
      </c>
      <c r="Q10" s="248" t="n"/>
      <c r="R10" s="249" t="n">
        <v>13333</v>
      </c>
      <c r="S10" s="250" t="n"/>
      <c r="T10" s="249" t="n">
        <v>13334</v>
      </c>
      <c r="U10" s="248" t="n"/>
      <c r="V10" s="249" t="n">
        <v>10000</v>
      </c>
      <c r="W10" s="248" t="n"/>
      <c r="X10" s="249" t="n">
        <v>10000</v>
      </c>
      <c r="Y10" s="248" t="n"/>
      <c r="Z10" s="249" t="n">
        <v>10000</v>
      </c>
      <c r="AA10" s="248" t="n"/>
      <c r="AB10" s="249" t="n">
        <v>10000</v>
      </c>
      <c r="AC10" s="248" t="n"/>
    </row>
    <row r="11">
      <c r="A11" s="251" t="inlineStr">
        <is>
          <t xml:space="preserve">   Total Event Income</t>
        </is>
      </c>
      <c r="B11" s="252">
        <f>SUM(B10)</f>
        <v/>
      </c>
      <c r="C11" s="253">
        <f>SUM(C10)</f>
        <v/>
      </c>
      <c r="D11" s="254">
        <f>SUM(D7:D10)</f>
        <v/>
      </c>
      <c r="E11" s="253" t="n"/>
      <c r="F11" s="254">
        <f>SUM(F7:F10)</f>
        <v/>
      </c>
      <c r="G11" s="253" t="n"/>
      <c r="H11" s="254">
        <f>SUM(H7:H10)</f>
        <v/>
      </c>
      <c r="I11" s="253" t="n"/>
      <c r="J11" s="255">
        <f>SUM(J10)</f>
        <v/>
      </c>
      <c r="K11" s="253" t="n"/>
      <c r="L11" s="254">
        <f>SUM(L7:L10)</f>
        <v/>
      </c>
      <c r="M11" s="253" t="n"/>
      <c r="N11" s="254">
        <f>SUM(N7:N10)</f>
        <v/>
      </c>
      <c r="O11" s="253" t="n"/>
      <c r="P11" s="254">
        <f>SUM(P7:P10)</f>
        <v/>
      </c>
      <c r="Q11" s="253" t="n"/>
      <c r="R11" s="254">
        <f>SUM(R7:R10)</f>
        <v/>
      </c>
      <c r="S11" s="253" t="n"/>
      <c r="T11" s="254">
        <f>SUM(T7:T10)</f>
        <v/>
      </c>
      <c r="U11" s="253" t="n"/>
      <c r="V11" s="254">
        <f>SUM(V7:V10)</f>
        <v/>
      </c>
      <c r="W11" s="253" t="n"/>
      <c r="X11" s="254">
        <f>SUM(X7:X10)</f>
        <v/>
      </c>
      <c r="Y11" s="253" t="n"/>
      <c r="Z11" s="254">
        <f>SUM(Z7:Z10)</f>
        <v/>
      </c>
      <c r="AA11" s="253" t="n"/>
      <c r="AB11" s="254">
        <f>SUM(AB7:AB10)</f>
        <v/>
      </c>
      <c r="AC11" s="253" t="n"/>
    </row>
    <row r="12">
      <c r="A12" s="91" t="n"/>
      <c r="B12" s="111" t="n"/>
      <c r="C12" s="93" t="n"/>
      <c r="D12" s="112" t="n"/>
      <c r="E12" s="93" t="n"/>
      <c r="F12" s="112" t="n"/>
      <c r="G12" s="93" t="n"/>
      <c r="H12" s="112" t="n"/>
      <c r="I12" s="93" t="n"/>
      <c r="J12" s="112" t="n"/>
      <c r="K12" s="93" t="n"/>
      <c r="L12" s="112" t="n"/>
      <c r="M12" s="93" t="n"/>
      <c r="N12" s="112" t="n"/>
      <c r="O12" s="93" t="n"/>
      <c r="P12" s="112" t="n"/>
      <c r="Q12" s="93" t="n"/>
      <c r="R12" s="112" t="n"/>
      <c r="S12" s="93" t="n"/>
      <c r="T12" s="112" t="n"/>
      <c r="U12" s="93" t="n"/>
      <c r="V12" s="112" t="n"/>
      <c r="W12" s="93" t="n"/>
      <c r="X12" s="112" t="n"/>
      <c r="Y12" s="93" t="n"/>
      <c r="Z12" s="112" t="n"/>
      <c r="AA12" s="93" t="n"/>
      <c r="AB12" s="112" t="n"/>
      <c r="AC12" s="93" t="n"/>
    </row>
    <row r="13">
      <c r="A13" s="113" t="inlineStr">
        <is>
          <t>Hotel St. Cloud Income</t>
        </is>
      </c>
      <c r="B13" s="94" t="n"/>
      <c r="C13" s="96" t="n"/>
      <c r="D13" s="97" t="n">
        <v>0</v>
      </c>
      <c r="E13" s="96" t="n"/>
      <c r="F13" s="97" t="n">
        <v>0</v>
      </c>
      <c r="G13" s="96" t="n"/>
      <c r="H13" s="97" t="n">
        <v>0</v>
      </c>
      <c r="I13" s="96" t="n"/>
      <c r="J13" s="97" t="n">
        <v>0</v>
      </c>
      <c r="K13" s="96" t="n"/>
      <c r="L13" s="97" t="n">
        <v>0</v>
      </c>
      <c r="M13" s="96" t="n"/>
      <c r="N13" s="97" t="n">
        <v>0</v>
      </c>
      <c r="O13" s="96" t="n"/>
      <c r="P13" s="97" t="n">
        <v>0</v>
      </c>
      <c r="Q13" s="96" t="n"/>
      <c r="R13" s="97" t="n">
        <v>0</v>
      </c>
      <c r="S13" s="96" t="n"/>
      <c r="T13" s="97" t="n">
        <v>0</v>
      </c>
      <c r="U13" s="96" t="n"/>
      <c r="V13" s="97" t="n">
        <v>0</v>
      </c>
      <c r="W13" s="96" t="n"/>
      <c r="X13" s="97" t="n">
        <v>0</v>
      </c>
      <c r="Y13" s="96" t="n"/>
      <c r="Z13" s="97" t="n">
        <v>0</v>
      </c>
      <c r="AA13" s="96" t="n"/>
      <c r="AB13" s="97" t="n">
        <v>0</v>
      </c>
      <c r="AC13" s="96" t="n"/>
    </row>
    <row r="14">
      <c r="A14" s="114" t="inlineStr">
        <is>
          <t>KEYS</t>
        </is>
      </c>
      <c r="B14" s="115" t="n"/>
      <c r="C14" s="116" t="n"/>
      <c r="D14" s="256" t="n">
        <v>36</v>
      </c>
      <c r="E14" s="118" t="n"/>
      <c r="F14" s="256" t="n">
        <v>36</v>
      </c>
      <c r="G14" s="116" t="n"/>
      <c r="H14" s="256" t="n">
        <v>36</v>
      </c>
      <c r="I14" s="116" t="n"/>
      <c r="J14" s="256" t="n">
        <v>36</v>
      </c>
      <c r="K14" s="116" t="n"/>
      <c r="L14" s="256" t="n">
        <v>36</v>
      </c>
      <c r="M14" s="116" t="n"/>
      <c r="N14" s="256" t="n">
        <v>36</v>
      </c>
      <c r="O14" s="116" t="n"/>
      <c r="P14" s="256" t="n">
        <v>36</v>
      </c>
      <c r="Q14" s="116" t="n"/>
      <c r="R14" s="256" t="n">
        <v>36</v>
      </c>
      <c r="S14" s="116" t="n"/>
      <c r="T14" s="256" t="n">
        <v>36</v>
      </c>
      <c r="U14" s="116" t="n"/>
      <c r="V14" s="256" t="n">
        <v>36</v>
      </c>
      <c r="W14" s="116" t="n"/>
      <c r="X14" s="256" t="n">
        <v>36</v>
      </c>
      <c r="Y14" s="116" t="n"/>
      <c r="Z14" s="256" t="n">
        <v>36</v>
      </c>
      <c r="AA14" s="116" t="n"/>
      <c r="AB14" s="256" t="n">
        <v>36</v>
      </c>
      <c r="AC14" s="116" t="n"/>
    </row>
    <row r="15">
      <c r="A15" s="114" t="inlineStr">
        <is>
          <t>DAYS</t>
        </is>
      </c>
      <c r="B15" s="119" t="n">
        <v>13140</v>
      </c>
      <c r="C15" s="116" t="n"/>
      <c r="D15" s="256" t="n">
        <v>28</v>
      </c>
      <c r="E15" s="120" t="n"/>
      <c r="F15" s="256" t="n">
        <v>28</v>
      </c>
      <c r="G15" s="116" t="n"/>
      <c r="H15" s="256" t="n">
        <v>28</v>
      </c>
      <c r="I15" s="116" t="n"/>
      <c r="J15" s="256" t="n">
        <v>28</v>
      </c>
      <c r="K15" s="116" t="n"/>
      <c r="L15" s="256" t="n">
        <v>28</v>
      </c>
      <c r="M15" s="116" t="n"/>
      <c r="N15" s="256" t="n">
        <v>28</v>
      </c>
      <c r="O15" s="116" t="n"/>
      <c r="P15" s="256" t="n">
        <v>28</v>
      </c>
      <c r="Q15" s="116" t="n"/>
      <c r="R15" s="256" t="n">
        <v>28</v>
      </c>
      <c r="S15" s="116" t="n"/>
      <c r="T15" s="256" t="n">
        <v>28</v>
      </c>
      <c r="U15" s="116" t="n"/>
      <c r="V15" s="256" t="n">
        <v>28</v>
      </c>
      <c r="W15" s="116" t="n"/>
      <c r="X15" s="256" t="n">
        <v>28</v>
      </c>
      <c r="Y15" s="116" t="n"/>
      <c r="Z15" s="256" t="n">
        <v>28</v>
      </c>
      <c r="AA15" s="116" t="n"/>
      <c r="AB15" s="256" t="n">
        <v>28</v>
      </c>
      <c r="AC15" s="116" t="n"/>
    </row>
    <row r="16">
      <c r="A16" s="95" t="inlineStr">
        <is>
          <t xml:space="preserve">      OCCUPANCY</t>
        </is>
      </c>
      <c r="B16" s="121">
        <f>SUM(B17/B15)</f>
        <v/>
      </c>
      <c r="C16" s="96" t="n"/>
      <c r="D16" s="257" t="n">
        <v>0.217</v>
      </c>
      <c r="E16" s="123" t="n"/>
      <c r="F16" s="257" t="n">
        <v>0.299</v>
      </c>
      <c r="G16" s="124" t="n"/>
      <c r="H16" s="257" t="n">
        <v>0.287</v>
      </c>
      <c r="I16" s="124" t="n"/>
      <c r="J16" s="257" t="n">
        <v>0.399</v>
      </c>
      <c r="K16" s="124" t="n"/>
      <c r="L16" s="257" t="n">
        <v>0.387</v>
      </c>
      <c r="M16" s="124" t="n"/>
      <c r="N16" s="257" t="n">
        <v>0.551</v>
      </c>
      <c r="O16" s="125" t="n"/>
      <c r="P16" s="257" t="n">
        <v>0.633</v>
      </c>
      <c r="Q16" s="125" t="n"/>
      <c r="R16" s="257" t="n">
        <v>0.694</v>
      </c>
      <c r="S16" s="125" t="n"/>
      <c r="T16" s="257" t="n">
        <v>0.594</v>
      </c>
      <c r="U16" s="125" t="n"/>
      <c r="V16" s="257" t="n">
        <v>0.6820000000000001</v>
      </c>
      <c r="W16" s="96" t="n"/>
      <c r="X16" s="257" t="n">
        <v>0.636</v>
      </c>
      <c r="Y16" s="96" t="n"/>
      <c r="Z16" s="257" t="n">
        <v>0.297</v>
      </c>
      <c r="AA16" s="96" t="n"/>
      <c r="AB16" s="257" t="n">
        <v>0.297</v>
      </c>
      <c r="AC16" s="96" t="n"/>
    </row>
    <row r="17">
      <c r="A17" s="114" t="inlineStr">
        <is>
          <t>ROOMS NIGHTS SOLD</t>
        </is>
      </c>
      <c r="B17" s="126">
        <f>SUM(D17,F17,H17,J17,L17,N17,P17,R17,T17,V17,X17,Z17,AB17)</f>
        <v/>
      </c>
      <c r="C17" s="116" t="n"/>
      <c r="D17" s="94">
        <f>SUM(D14*D15*D16)</f>
        <v/>
      </c>
      <c r="E17" s="127" t="n"/>
      <c r="F17" s="94">
        <f>SUM(F14*F15*F16)</f>
        <v/>
      </c>
      <c r="G17" s="128" t="n"/>
      <c r="H17" s="94">
        <f>SUM(H14*H15*H16)</f>
        <v/>
      </c>
      <c r="I17" s="128" t="n"/>
      <c r="J17" s="94">
        <f>SUM(J14*J15*J16)</f>
        <v/>
      </c>
      <c r="K17" s="128" t="n"/>
      <c r="L17" s="94">
        <f>SUM(L14*L15*L16)</f>
        <v/>
      </c>
      <c r="M17" s="128" t="n"/>
      <c r="N17" s="94">
        <f>SUM(N14*N15*N16)</f>
        <v/>
      </c>
      <c r="O17" s="128" t="n"/>
      <c r="P17" s="94">
        <f>SUM(P14*P15*P16)</f>
        <v/>
      </c>
      <c r="Q17" s="128" t="n"/>
      <c r="R17" s="94">
        <f>SUM(R14*R15*R16)</f>
        <v/>
      </c>
      <c r="S17" s="128" t="n"/>
      <c r="T17" s="94">
        <f>SUM(T14*T15*T16)</f>
        <v/>
      </c>
      <c r="U17" s="128" t="n"/>
      <c r="V17" s="94">
        <f>SUM(V14*V15*V16)</f>
        <v/>
      </c>
      <c r="W17" s="96" t="n"/>
      <c r="X17" s="94">
        <f>SUM(X14*X15*X16)</f>
        <v/>
      </c>
      <c r="Y17" s="96" t="n"/>
      <c r="Z17" s="94">
        <f>SUM(Z14*Z15*Z16)</f>
        <v/>
      </c>
      <c r="AA17" s="96" t="n"/>
      <c r="AB17" s="94">
        <f>SUM(AB14*AB15*AB16)</f>
        <v/>
      </c>
      <c r="AC17" s="96" t="n"/>
    </row>
    <row r="18">
      <c r="A18" s="114" t="inlineStr">
        <is>
          <t>ADR</t>
        </is>
      </c>
      <c r="B18" s="258">
        <f>SUM(B19/B17)</f>
        <v/>
      </c>
      <c r="D18" s="259" t="n">
        <v>188.4</v>
      </c>
      <c r="E18" s="260" t="n"/>
      <c r="F18" s="259" t="n">
        <v>192.07</v>
      </c>
      <c r="G18" s="261" t="n"/>
      <c r="H18" s="259" t="n">
        <v>186.86</v>
      </c>
      <c r="I18" s="261" t="n"/>
      <c r="J18" s="259" t="n">
        <v>187.5</v>
      </c>
      <c r="K18" s="261" t="n"/>
      <c r="L18" s="259" t="n">
        <v>213.98</v>
      </c>
      <c r="M18" s="262" t="n"/>
      <c r="N18" s="259" t="n">
        <v>231.14</v>
      </c>
      <c r="O18" s="260" t="n"/>
      <c r="P18" s="259" t="n">
        <v>230.98</v>
      </c>
      <c r="Q18" s="260" t="n"/>
      <c r="R18" s="259" t="n">
        <v>219.78</v>
      </c>
      <c r="S18" s="260" t="n"/>
      <c r="T18" s="259" t="n">
        <v>229.75</v>
      </c>
      <c r="U18" s="260" t="n"/>
      <c r="V18" s="259" t="n">
        <v>234.52</v>
      </c>
      <c r="W18" s="116" t="n"/>
      <c r="X18" s="259" t="n">
        <v>231</v>
      </c>
      <c r="Y18" s="116" t="n"/>
      <c r="Z18" s="259" t="n">
        <v>199.5</v>
      </c>
      <c r="AA18" s="116" t="n"/>
      <c r="AB18" s="259" t="n">
        <v>204.75</v>
      </c>
      <c r="AC18" s="116" t="n"/>
    </row>
    <row r="19">
      <c r="A19" s="263" t="inlineStr">
        <is>
          <t xml:space="preserve">      Hotel Room Nights</t>
        </is>
      </c>
      <c r="B19" s="247">
        <f>SUM(D19,F19,H19,J19,L19,N19,P19,R19,T19,V19,X19,Z19,AB19)</f>
        <v/>
      </c>
      <c r="C19" s="248">
        <f>SUM(E19,G19,I19,K19,M19,O19,Q19,S19,U19,W19,Y19,AA19,AC19)</f>
        <v/>
      </c>
      <c r="D19" s="264">
        <f>SUM(D17*D18)</f>
        <v/>
      </c>
      <c r="E19" s="265" t="n"/>
      <c r="F19" s="264">
        <f>SUM(F17*F18)</f>
        <v/>
      </c>
      <c r="G19" s="265" t="n"/>
      <c r="H19" s="264">
        <f>SUM(H17*H18)</f>
        <v/>
      </c>
      <c r="I19" s="265" t="n"/>
      <c r="J19" s="264">
        <f>SUM(J17*J18)</f>
        <v/>
      </c>
      <c r="K19" s="265" t="n"/>
      <c r="L19" s="264">
        <f>SUM(L17*L18)</f>
        <v/>
      </c>
      <c r="M19" s="265" t="n"/>
      <c r="N19" s="264">
        <f>SUM(N17*N18)</f>
        <v/>
      </c>
      <c r="O19" s="266" t="n"/>
      <c r="P19" s="264">
        <f>SUM(P17*P18)</f>
        <v/>
      </c>
      <c r="Q19" s="266" t="n"/>
      <c r="R19" s="264">
        <f>SUM(R17*R18)</f>
        <v/>
      </c>
      <c r="S19" s="266" t="n"/>
      <c r="T19" s="264">
        <f>SUM(T17*T18)</f>
        <v/>
      </c>
      <c r="U19" s="265" t="n"/>
      <c r="V19" s="264">
        <f>SUM(V17*V18)</f>
        <v/>
      </c>
      <c r="W19" s="265" t="n"/>
      <c r="X19" s="264">
        <f>SUM(X17*X18)</f>
        <v/>
      </c>
      <c r="Y19" s="265" t="n"/>
      <c r="Z19" s="264">
        <f>SUM(Z17*Z18)</f>
        <v/>
      </c>
      <c r="AA19" s="265" t="n"/>
      <c r="AB19" s="264">
        <f>SUM(AB17*AB18)</f>
        <v/>
      </c>
      <c r="AC19" s="265" t="n"/>
    </row>
    <row r="20">
      <c r="A20" s="267" t="inlineStr">
        <is>
          <t xml:space="preserve">   Total Hotel St. Cloud Income</t>
        </is>
      </c>
      <c r="B20" s="268">
        <f>SUM(B19)</f>
        <v/>
      </c>
      <c r="C20" s="269">
        <f>SUM(C19)</f>
        <v/>
      </c>
      <c r="D20" s="255">
        <f>SUM(D19)</f>
        <v/>
      </c>
      <c r="E20" s="269" t="n"/>
      <c r="F20" s="255">
        <f>SUM(F19)</f>
        <v/>
      </c>
      <c r="G20" s="269" t="n"/>
      <c r="H20" s="255">
        <f>SUM(H19)</f>
        <v/>
      </c>
      <c r="I20" s="269" t="n"/>
      <c r="J20" s="255">
        <f>SUM(J19)</f>
        <v/>
      </c>
      <c r="K20" s="269" t="n"/>
      <c r="L20" s="255">
        <f>SUM(L19)</f>
        <v/>
      </c>
      <c r="M20" s="269" t="n"/>
      <c r="N20" s="255">
        <f>SUM(N19)</f>
        <v/>
      </c>
      <c r="O20" s="269" t="n"/>
      <c r="P20" s="255">
        <f>SUM(P19)</f>
        <v/>
      </c>
      <c r="Q20" s="269" t="n"/>
      <c r="R20" s="255">
        <f>SUM(R19)</f>
        <v/>
      </c>
      <c r="S20" s="269" t="n"/>
      <c r="T20" s="255">
        <f>SUM(T19)</f>
        <v/>
      </c>
      <c r="U20" s="269" t="n"/>
      <c r="V20" s="255">
        <f>SUM(V19)</f>
        <v/>
      </c>
      <c r="W20" s="269" t="n"/>
      <c r="X20" s="255">
        <f>SUM(X19)</f>
        <v/>
      </c>
      <c r="Y20" s="269" t="n"/>
      <c r="Z20" s="255">
        <f>SUM(Z19)</f>
        <v/>
      </c>
      <c r="AA20" s="269" t="n"/>
      <c r="AB20" s="255">
        <f>SUM(AB19)</f>
        <v/>
      </c>
      <c r="AC20" s="269" t="n"/>
    </row>
    <row r="21">
      <c r="A21" s="91" t="n"/>
      <c r="B21" s="92" t="n"/>
      <c r="C21" s="93" t="n"/>
      <c r="D21" s="97" t="n"/>
      <c r="E21" s="93" t="n"/>
      <c r="F21" s="97" t="n"/>
      <c r="G21" s="93" t="n"/>
      <c r="H21" s="97" t="n"/>
      <c r="I21" s="93" t="n"/>
      <c r="J21" s="97" t="n"/>
      <c r="K21" s="93" t="n"/>
      <c r="L21" s="97" t="n"/>
      <c r="M21" s="93" t="n"/>
      <c r="N21" s="97" t="n"/>
      <c r="O21" s="93" t="n"/>
      <c r="P21" s="97" t="n"/>
      <c r="Q21" s="93" t="n"/>
      <c r="R21" s="97" t="n"/>
      <c r="S21" s="93" t="n"/>
      <c r="T21" s="97" t="n"/>
      <c r="U21" s="93" t="n"/>
      <c r="V21" s="97" t="n"/>
      <c r="W21" s="93" t="n"/>
      <c r="X21" s="97" t="n"/>
      <c r="Y21" s="93" t="n"/>
      <c r="Z21" s="97" t="n"/>
      <c r="AA21" s="93" t="n"/>
      <c r="AB21" s="97" t="n"/>
      <c r="AC21" s="93" t="n"/>
    </row>
    <row r="22">
      <c r="A22" s="91" t="inlineStr">
        <is>
          <t>Restaurant Income</t>
        </is>
      </c>
      <c r="B22" s="92" t="n"/>
      <c r="C22" s="93" t="n"/>
      <c r="D22" s="97" t="n">
        <v>0</v>
      </c>
      <c r="E22" s="93" t="n"/>
      <c r="F22" s="97" t="n">
        <v>0</v>
      </c>
      <c r="G22" s="93" t="n"/>
      <c r="H22" s="97" t="n">
        <v>0</v>
      </c>
      <c r="I22" s="93" t="n"/>
      <c r="J22" s="97" t="n">
        <v>0</v>
      </c>
      <c r="K22" s="93" t="n"/>
      <c r="L22" s="97" t="n">
        <v>0</v>
      </c>
      <c r="M22" s="93" t="n"/>
      <c r="N22" s="97" t="n">
        <v>0</v>
      </c>
      <c r="O22" s="93" t="n"/>
      <c r="P22" s="97" t="n">
        <v>0</v>
      </c>
      <c r="Q22" s="93" t="n"/>
      <c r="R22" s="97" t="n">
        <v>0</v>
      </c>
      <c r="S22" s="93" t="n"/>
      <c r="T22" s="97" t="n">
        <v>0</v>
      </c>
      <c r="U22" s="93" t="n"/>
      <c r="V22" s="97" t="n">
        <v>0</v>
      </c>
      <c r="W22" s="93" t="n"/>
      <c r="X22" s="97" t="n">
        <v>0</v>
      </c>
      <c r="Y22" s="93" t="n"/>
      <c r="Z22" s="97" t="n">
        <v>0</v>
      </c>
      <c r="AA22" s="93" t="n"/>
      <c r="AB22" s="97" t="n">
        <v>0</v>
      </c>
      <c r="AC22" s="93" t="n"/>
    </row>
    <row r="23">
      <c r="A23" s="270" t="inlineStr">
        <is>
          <t>Fremont Provisions</t>
        </is>
      </c>
      <c r="B23" s="271">
        <f>SUM(D23,F23,H23,J23,L23,N23,P23,R23,T23,V23,X23,Z23,AB23)</f>
        <v/>
      </c>
      <c r="C23" s="272">
        <f>SUM(E23,G23,I23,K23,M23,O23,Q23,S23,U23,W23,Y23,AA23,AC23)</f>
        <v/>
      </c>
      <c r="D23" s="273" t="n">
        <v>58993</v>
      </c>
      <c r="E23" s="272" t="n"/>
      <c r="F23" s="273" t="n">
        <v>56760</v>
      </c>
      <c r="G23" s="272" t="n"/>
      <c r="H23" s="273" t="n">
        <v>59796</v>
      </c>
      <c r="I23" s="274" t="n"/>
      <c r="J23" s="273" t="n">
        <v>66252</v>
      </c>
      <c r="K23" s="274" t="n"/>
      <c r="L23" s="273" t="n">
        <v>73080</v>
      </c>
      <c r="M23" s="275" t="n"/>
      <c r="N23" s="273" t="n">
        <v>74454</v>
      </c>
      <c r="O23" s="275" t="n"/>
      <c r="P23" s="273" t="n">
        <v>70515</v>
      </c>
      <c r="Q23" s="275" t="n"/>
      <c r="R23" s="273" t="n">
        <v>83752</v>
      </c>
      <c r="S23" s="275" t="n"/>
      <c r="T23" s="273" t="n">
        <v>76773</v>
      </c>
      <c r="U23" s="276" t="n"/>
      <c r="V23" s="273" t="n">
        <v>88118</v>
      </c>
      <c r="W23" s="276" t="n"/>
      <c r="X23" s="273" t="n">
        <v>85830</v>
      </c>
      <c r="Y23" s="276" t="n"/>
      <c r="Z23" s="273" t="n">
        <v>62942</v>
      </c>
      <c r="AA23" s="276" t="n"/>
      <c r="AB23" s="273" t="n">
        <v>68664</v>
      </c>
      <c r="AC23" s="276" t="n"/>
    </row>
    <row r="24">
      <c r="A24" s="270" t="inlineStr">
        <is>
          <t>Hotel St Cloud</t>
        </is>
      </c>
      <c r="B24" s="271">
        <f>SUM(D24,F24,H24,J24,L24,N24,P24,R24,T24,V24,X24,Z24,AB24)</f>
        <v/>
      </c>
      <c r="C24" s="272">
        <f>SUM(E24,G24,I24,K24,M24,O24,Q24,S24,U24,W24,Y24,AA24,AC24)</f>
        <v/>
      </c>
      <c r="D24" s="273" t="n">
        <v>92180</v>
      </c>
      <c r="E24" s="272" t="n"/>
      <c r="F24" s="273" t="n">
        <v>115384</v>
      </c>
      <c r="G24" s="272" t="n"/>
      <c r="H24" s="273" t="n">
        <v>104395</v>
      </c>
      <c r="I24" s="274" t="n"/>
      <c r="J24" s="273" t="n">
        <v>119382</v>
      </c>
      <c r="K24" s="274" t="n"/>
      <c r="L24" s="273" t="n">
        <v>128230</v>
      </c>
      <c r="M24" s="275" t="n"/>
      <c r="N24" s="273" t="n">
        <v>132500</v>
      </c>
      <c r="O24" s="275" t="n"/>
      <c r="P24" s="273" t="n">
        <v>141134</v>
      </c>
      <c r="Q24" s="275" t="n"/>
      <c r="R24" s="273" t="n">
        <v>165451</v>
      </c>
      <c r="S24" s="275" t="n"/>
      <c r="T24" s="273" t="n">
        <v>148764</v>
      </c>
      <c r="U24" s="276" t="n"/>
      <c r="V24" s="273" t="n">
        <v>168226</v>
      </c>
      <c r="W24" s="276" t="n"/>
      <c r="X24" s="273" t="n">
        <v>168226</v>
      </c>
      <c r="Y24" s="276" t="n"/>
      <c r="Z24" s="273" t="n">
        <v>122565</v>
      </c>
      <c r="AA24" s="276" t="n"/>
      <c r="AB24" s="273" t="n">
        <v>132178</v>
      </c>
      <c r="AC24" s="276" t="n"/>
    </row>
    <row r="25">
      <c r="A25" s="277" t="inlineStr">
        <is>
          <t>Standard Oil Coffee Co</t>
        </is>
      </c>
      <c r="B25" s="278">
        <f>SUM(D25,F25,H25,J25,L25,N25,P25,R25,T25,V25,X25,Z25,AB25)</f>
        <v/>
      </c>
      <c r="C25" s="279">
        <f>SUM(B25,E25,G25,I25,K25,M25,O25,Q25,S25,U25,W25,Y25,AA25,AC25)</f>
        <v/>
      </c>
      <c r="D25" s="249" t="n">
        <v>16016</v>
      </c>
      <c r="E25" s="280" t="n"/>
      <c r="F25" s="249" t="n">
        <v>19468</v>
      </c>
      <c r="G25" s="280" t="n"/>
      <c r="H25" s="249" t="n">
        <v>21188</v>
      </c>
      <c r="I25" s="281" t="n"/>
      <c r="J25" s="249" t="n">
        <v>24483</v>
      </c>
      <c r="K25" s="281" t="n"/>
      <c r="L25" s="249" t="n">
        <v>27214</v>
      </c>
      <c r="M25" s="282" t="n"/>
      <c r="N25" s="249" t="n">
        <v>29759</v>
      </c>
      <c r="O25" s="282" t="n"/>
      <c r="P25" s="249" t="n">
        <v>31141</v>
      </c>
      <c r="Q25" s="282" t="n"/>
      <c r="R25" s="249" t="n">
        <v>32411</v>
      </c>
      <c r="S25" s="282" t="n"/>
      <c r="T25" s="249" t="n">
        <v>28861</v>
      </c>
      <c r="U25" s="283" t="n"/>
      <c r="V25" s="249" t="n">
        <v>21744</v>
      </c>
      <c r="W25" s="283" t="n"/>
      <c r="X25" s="249" t="n">
        <v>21744</v>
      </c>
      <c r="Y25" s="283" t="n"/>
      <c r="Z25" s="249" t="n">
        <v>21744</v>
      </c>
      <c r="AA25" s="283" t="n"/>
      <c r="AB25" s="249" t="n">
        <v>21744</v>
      </c>
      <c r="AC25" s="283" t="n"/>
    </row>
    <row r="26">
      <c r="A26" s="284" t="inlineStr">
        <is>
          <t xml:space="preserve">   Total Restaurant Income</t>
        </is>
      </c>
      <c r="B26" s="285">
        <f>SUM(B23:B25)</f>
        <v/>
      </c>
      <c r="C26" s="286">
        <f>SUM(E26,G26,I26,K26,M26,O26,Q26,S26,U26,W26,Y26,AA26,AC26)</f>
        <v/>
      </c>
      <c r="D26" s="285">
        <f>SUM(D23:D25)</f>
        <v/>
      </c>
      <c r="E26" s="286" t="n"/>
      <c r="F26" s="285">
        <f>SUM(F23:F25)</f>
        <v/>
      </c>
      <c r="G26" s="286" t="n"/>
      <c r="H26" s="285">
        <f>SUM(H23:H25)</f>
        <v/>
      </c>
      <c r="I26" s="286" t="n"/>
      <c r="J26" s="285">
        <f>SUM(J23:J25)</f>
        <v/>
      </c>
      <c r="K26" s="286" t="n"/>
      <c r="L26" s="285">
        <f>SUM(L23:L25)</f>
        <v/>
      </c>
      <c r="M26" s="286" t="n"/>
      <c r="N26" s="285">
        <f>SUM(N23:N25)</f>
        <v/>
      </c>
      <c r="O26" s="286" t="n"/>
      <c r="P26" s="285">
        <f>SUM(P23:P25)</f>
        <v/>
      </c>
      <c r="Q26" s="286" t="n"/>
      <c r="R26" s="285">
        <f>SUM(R23:R25)</f>
        <v/>
      </c>
      <c r="S26" s="286" t="n"/>
      <c r="T26" s="285">
        <f>SUM(T23:T25)</f>
        <v/>
      </c>
      <c r="U26" s="286" t="n"/>
      <c r="V26" s="285">
        <f>SUM(V23:V25)</f>
        <v/>
      </c>
      <c r="W26" s="286" t="n"/>
      <c r="X26" s="285">
        <f>SUM(X23:X25)</f>
        <v/>
      </c>
      <c r="Y26" s="286" t="n"/>
      <c r="Z26" s="285">
        <f>SUM(Z23:Z25)</f>
        <v/>
      </c>
      <c r="AA26" s="286" t="n"/>
      <c r="AB26" s="285">
        <f>SUM(AB23:AB25)</f>
        <v/>
      </c>
      <c r="AC26" s="286" t="n"/>
    </row>
    <row r="27">
      <c r="A27" s="284" t="inlineStr">
        <is>
          <t xml:space="preserve">    Deferred Sales (Cash vs. Accrual)</t>
        </is>
      </c>
      <c r="B27" s="285" t="n">
        <v>0</v>
      </c>
      <c r="C27" s="287">
        <f>SUM(E27,G27,I27,K27,M27,O27,Q27,S27,U27,W27,Y27,AA27,AC27)</f>
        <v/>
      </c>
      <c r="D27" s="285" t="n"/>
      <c r="E27" s="286" t="n"/>
      <c r="F27" s="285" t="n"/>
      <c r="G27" s="286" t="n"/>
      <c r="H27" s="285" t="n"/>
      <c r="I27" s="286" t="n"/>
      <c r="J27" s="285" t="n"/>
      <c r="K27" s="286" t="n"/>
      <c r="L27" s="285" t="n"/>
      <c r="M27" s="286" t="n"/>
      <c r="N27" s="285" t="n"/>
      <c r="O27" s="286" t="n"/>
      <c r="P27" s="285" t="n"/>
      <c r="Q27" s="286" t="n"/>
      <c r="R27" s="285" t="n"/>
      <c r="S27" s="286" t="n"/>
      <c r="T27" s="285" t="n"/>
      <c r="U27" s="286" t="n"/>
      <c r="V27" s="285" t="n"/>
      <c r="W27" s="286" t="n"/>
      <c r="X27" s="285" t="n"/>
      <c r="Y27" s="286" t="n"/>
      <c r="Z27" s="285" t="n"/>
      <c r="AA27" s="286" t="n"/>
      <c r="AB27" s="285" t="n"/>
      <c r="AC27" s="286" t="n"/>
    </row>
    <row r="28">
      <c r="A28" s="288" t="inlineStr">
        <is>
          <t>Total Income</t>
        </is>
      </c>
      <c r="B28" s="288">
        <f>SUM(B11,B20,B26,B27)</f>
        <v/>
      </c>
      <c r="C28" s="289">
        <f>SUM(C11,C20,C26,C27)</f>
        <v/>
      </c>
      <c r="D28" s="290">
        <f>SUM(D11,D20,D26,D27)</f>
        <v/>
      </c>
      <c r="E28" s="289" t="n"/>
      <c r="F28" s="290">
        <f>SUM(F11,F20,F26,F27)</f>
        <v/>
      </c>
      <c r="G28" s="289" t="n"/>
      <c r="H28" s="290">
        <f>SUM(H11,H20,H26,H27)</f>
        <v/>
      </c>
      <c r="I28" s="289" t="n"/>
      <c r="J28" s="290">
        <f>SUM(J11,J20,J26,J27)</f>
        <v/>
      </c>
      <c r="K28" s="289" t="n"/>
      <c r="L28" s="290">
        <f>SUM(L11,L20,L26,L27)</f>
        <v/>
      </c>
      <c r="M28" s="289" t="n"/>
      <c r="N28" s="290">
        <f>SUM(N11,N20,N26,N27)</f>
        <v/>
      </c>
      <c r="O28" s="289" t="n"/>
      <c r="P28" s="290">
        <f>SUM(P11,P20,P26,P27)</f>
        <v/>
      </c>
      <c r="Q28" s="289" t="n"/>
      <c r="R28" s="290">
        <f>SUM(R11,R20,R26,R27)</f>
        <v/>
      </c>
      <c r="S28" s="289" t="n"/>
      <c r="T28" s="290">
        <f>SUM(T11,T20,T26,T27)</f>
        <v/>
      </c>
      <c r="U28" s="289" t="n"/>
      <c r="V28" s="290">
        <f>SUM(V11,V20,V26,V27)</f>
        <v/>
      </c>
      <c r="W28" s="289" t="n"/>
      <c r="X28" s="290">
        <f>SUM(X11,X20,X26,X27)</f>
        <v/>
      </c>
      <c r="Y28" s="289" t="n"/>
      <c r="Z28" s="290">
        <f>SUM(Z11,Z20,Z26,Z27)</f>
        <v/>
      </c>
      <c r="AA28" s="289" t="n"/>
      <c r="AB28" s="291">
        <f>SUM(AB11,AB20,AB26,AB27)</f>
        <v/>
      </c>
      <c r="AC28" s="289" t="n"/>
    </row>
    <row r="29">
      <c r="A29" s="91" t="n"/>
      <c r="B29" s="111" t="n"/>
      <c r="C29" s="93" t="n"/>
      <c r="D29" s="97" t="n"/>
      <c r="E29" s="93" t="n"/>
      <c r="F29" s="97" t="n"/>
      <c r="G29" s="93" t="n"/>
      <c r="H29" s="97" t="n"/>
      <c r="I29" s="93" t="n"/>
      <c r="J29" s="97" t="n"/>
      <c r="K29" s="93" t="n"/>
      <c r="L29" s="97" t="n"/>
      <c r="M29" s="93" t="n"/>
      <c r="N29" s="97" t="n"/>
      <c r="O29" s="93" t="n"/>
      <c r="P29" s="97" t="n"/>
      <c r="Q29" s="93" t="n"/>
      <c r="R29" s="97" t="n"/>
      <c r="S29" s="93" t="n"/>
      <c r="T29" s="97" t="n"/>
      <c r="U29" s="93" t="n"/>
      <c r="V29" s="97" t="n"/>
      <c r="W29" s="93" t="n"/>
      <c r="X29" s="97" t="n"/>
      <c r="Y29" s="93" t="n"/>
      <c r="Z29" s="97" t="n"/>
      <c r="AA29" s="93" t="n"/>
      <c r="AB29" s="97" t="n"/>
      <c r="AC29" s="93" t="n"/>
    </row>
    <row r="30">
      <c r="A30" s="91" t="inlineStr">
        <is>
          <t>Cost of Goods Sold</t>
        </is>
      </c>
      <c r="B30" s="92" t="n"/>
      <c r="C30" s="93" t="n"/>
      <c r="D30" s="97" t="n">
        <v>0</v>
      </c>
      <c r="E30" s="93" t="n"/>
      <c r="F30" s="97" t="n">
        <v>0</v>
      </c>
      <c r="G30" s="93" t="n"/>
      <c r="H30" s="97" t="n">
        <v>0</v>
      </c>
      <c r="I30" s="93" t="n"/>
      <c r="J30" s="97" t="n">
        <v>0</v>
      </c>
      <c r="K30" s="93" t="n"/>
      <c r="L30" s="97" t="n">
        <v>0</v>
      </c>
      <c r="M30" s="93" t="n"/>
      <c r="N30" s="97" t="n">
        <v>0</v>
      </c>
      <c r="O30" s="93" t="n"/>
      <c r="P30" s="97" t="n">
        <v>0</v>
      </c>
      <c r="Q30" s="93" t="n"/>
      <c r="R30" s="97" t="n">
        <v>0</v>
      </c>
      <c r="S30" s="93" t="n"/>
      <c r="T30" s="97" t="n">
        <v>0</v>
      </c>
      <c r="U30" s="93" t="n"/>
      <c r="V30" s="97" t="n">
        <v>0</v>
      </c>
      <c r="W30" s="93" t="n"/>
      <c r="X30" s="97" t="n">
        <v>0</v>
      </c>
      <c r="Y30" s="93" t="n"/>
      <c r="Z30" s="97" t="n">
        <v>0</v>
      </c>
      <c r="AA30" s="93" t="n"/>
      <c r="AB30" s="97" t="n">
        <v>0</v>
      </c>
      <c r="AC30" s="93" t="n"/>
    </row>
    <row r="31">
      <c r="A31" s="163" t="inlineStr">
        <is>
          <t xml:space="preserve">   Cost of Food &amp; Beverage - COS</t>
        </is>
      </c>
      <c r="B31" s="92" t="n"/>
      <c r="C31" s="93" t="n"/>
      <c r="D31" s="97" t="n">
        <v>0</v>
      </c>
      <c r="E31" s="93" t="n"/>
      <c r="F31" s="97" t="n">
        <v>0</v>
      </c>
      <c r="G31" s="93" t="n"/>
      <c r="H31" s="97" t="n">
        <v>0</v>
      </c>
      <c r="I31" s="93" t="n"/>
      <c r="J31" s="97" t="n">
        <v>0</v>
      </c>
      <c r="K31" s="93" t="n"/>
      <c r="L31" s="97" t="n">
        <v>0</v>
      </c>
      <c r="M31" s="93" t="n"/>
      <c r="N31" s="97" t="n">
        <v>0</v>
      </c>
      <c r="O31" s="93" t="n"/>
      <c r="P31" s="97" t="n">
        <v>0</v>
      </c>
      <c r="Q31" s="93" t="n"/>
      <c r="R31" s="97" t="n">
        <v>0</v>
      </c>
      <c r="S31" s="93" t="n"/>
      <c r="T31" s="97" t="n">
        <v>0</v>
      </c>
      <c r="U31" s="93" t="n"/>
      <c r="V31" s="97" t="n"/>
      <c r="W31" s="93" t="n"/>
      <c r="X31" s="97" t="n"/>
      <c r="Y31" s="93" t="n"/>
      <c r="Z31" s="97" t="n">
        <v>0</v>
      </c>
      <c r="AA31" s="93" t="n"/>
      <c r="AB31" s="97" t="n">
        <v>0</v>
      </c>
      <c r="AC31" s="93" t="n"/>
    </row>
    <row r="32">
      <c r="A32" s="292" t="inlineStr">
        <is>
          <t>Food Cost Budget</t>
        </is>
      </c>
      <c r="B32" s="271">
        <f>SUM(D32,F32,H32,J32,L32,N32,P32,R32,T32,V32,X32,Z32,AB32)</f>
        <v/>
      </c>
      <c r="C32" s="272">
        <f>SUM(E32,G32,I32,K32,M32,O32,Q32,S32,U32,W32,Y32,AA32,AC32)</f>
        <v/>
      </c>
      <c r="D32" s="273">
        <f>ROUND((D26+D11)*0.32,2)</f>
        <v/>
      </c>
      <c r="E32" s="272" t="n"/>
      <c r="F32" s="273">
        <f>ROUND((F26+F11)*0.32,2)</f>
        <v/>
      </c>
      <c r="G32" s="272" t="n"/>
      <c r="H32" s="273">
        <f>ROUND((H26+H11)*0.32,2)</f>
        <v/>
      </c>
      <c r="I32" s="272" t="n"/>
      <c r="J32" s="273">
        <f>ROUND((J26+J11)*0.32,2)</f>
        <v/>
      </c>
      <c r="K32" s="272" t="n"/>
      <c r="L32" s="273">
        <f>ROUND((L26+L11)*0.32,2)</f>
        <v/>
      </c>
      <c r="M32" s="272" t="n"/>
      <c r="N32" s="273">
        <f>ROUND((N26+N11)*0.32,2)</f>
        <v/>
      </c>
      <c r="O32" s="272" t="n"/>
      <c r="P32" s="273">
        <f>ROUND((P26+P11)*0.32,2)</f>
        <v/>
      </c>
      <c r="Q32" s="272" t="n"/>
      <c r="R32" s="273">
        <f>ROUND((R26+R11)*0.32,2)</f>
        <v/>
      </c>
      <c r="S32" s="272" t="n"/>
      <c r="T32" s="273">
        <f>ROUND((T26+T11)*0.32,2)</f>
        <v/>
      </c>
      <c r="U32" s="272" t="n"/>
      <c r="V32" s="273">
        <f>ROUND((V26+V11)*0.32,2)</f>
        <v/>
      </c>
      <c r="W32" s="272" t="n"/>
      <c r="X32" s="273">
        <f>ROUND((X26+X11)*0.32,2)</f>
        <v/>
      </c>
      <c r="Y32" s="272" t="n"/>
      <c r="Z32" s="273">
        <f>ROUND((Z26+Z11)*0.32,2)</f>
        <v/>
      </c>
      <c r="AA32" s="272" t="n"/>
      <c r="AB32" s="273">
        <f>ROUND((AB26+AB11)*0.32,2)</f>
        <v/>
      </c>
      <c r="AC32" s="272" t="n"/>
    </row>
    <row r="33">
      <c r="A33" s="165" t="inlineStr">
        <is>
          <t xml:space="preserve">      Cost of Sales - Beverage</t>
        </is>
      </c>
      <c r="B33" s="166">
        <f>SUM(D33,F33,H33,J33,L33,N33,P33,R33,T33,V33,X33,Z33,AB33)</f>
        <v/>
      </c>
      <c r="C33" s="272">
        <f>SUM(E33,G33,I33,K33,M33,O33,Q33,S33,U33,W33,Y33,AA33,AC33)</f>
        <v/>
      </c>
      <c r="D33" s="97" t="n">
        <v>0</v>
      </c>
      <c r="E33" s="272" t="n"/>
      <c r="F33" s="97" t="n">
        <v>0</v>
      </c>
      <c r="G33" s="272" t="n"/>
      <c r="H33" s="97" t="n">
        <v>0</v>
      </c>
      <c r="I33" s="272" t="n"/>
      <c r="J33" s="97" t="n">
        <v>0</v>
      </c>
      <c r="K33" s="272" t="n"/>
      <c r="L33" s="97" t="n">
        <v>0</v>
      </c>
      <c r="M33" s="272" t="n"/>
      <c r="N33" s="97" t="n">
        <v>0</v>
      </c>
      <c r="O33" s="272" t="n"/>
      <c r="P33" s="97" t="n">
        <v>0</v>
      </c>
      <c r="Q33" s="272" t="n"/>
      <c r="R33" s="97" t="n">
        <v>0</v>
      </c>
      <c r="S33" s="272" t="n"/>
      <c r="T33" s="97" t="n">
        <v>0</v>
      </c>
      <c r="U33" s="272" t="n"/>
      <c r="V33" s="97" t="n">
        <v>0</v>
      </c>
      <c r="W33" s="272" t="n"/>
      <c r="X33" s="97" t="n">
        <v>0</v>
      </c>
      <c r="Y33" s="272" t="n"/>
      <c r="Z33" s="97" t="n">
        <v>0</v>
      </c>
      <c r="AA33" s="272" t="n"/>
      <c r="AB33" s="97" t="n">
        <v>0</v>
      </c>
      <c r="AC33" s="272" t="n"/>
    </row>
    <row r="34">
      <c r="A34" s="165" t="inlineStr">
        <is>
          <t xml:space="preserve">      Cost of Sales - Food</t>
        </is>
      </c>
      <c r="B34" s="166">
        <f>SUM(D34,F34,H34,J34,L34,N34,P34,R34,T34,V34,X34,Z34,AB34)</f>
        <v/>
      </c>
      <c r="C34" s="272">
        <f>SUM(E34,G34,I34,K34,M34,O34,Q34,S34,U34,W34,Y34,AA34,AC34)</f>
        <v/>
      </c>
      <c r="D34" s="97" t="n">
        <v>0</v>
      </c>
      <c r="E34" s="272" t="n"/>
      <c r="F34" s="97" t="n">
        <v>0</v>
      </c>
      <c r="G34" s="272" t="n"/>
      <c r="H34" s="97" t="n">
        <v>0</v>
      </c>
      <c r="I34" s="272" t="n"/>
      <c r="J34" s="97" t="n">
        <v>0</v>
      </c>
      <c r="K34" s="272" t="n"/>
      <c r="L34" s="97" t="n">
        <v>0</v>
      </c>
      <c r="M34" s="272" t="n"/>
      <c r="N34" s="97" t="n">
        <v>0</v>
      </c>
      <c r="O34" s="272" t="n"/>
      <c r="P34" s="97" t="n">
        <v>0</v>
      </c>
      <c r="Q34" s="272" t="n"/>
      <c r="R34" s="97" t="n">
        <v>0</v>
      </c>
      <c r="S34" s="272" t="n"/>
      <c r="T34" s="97" t="n">
        <v>0</v>
      </c>
      <c r="U34" s="272" t="n"/>
      <c r="V34" s="97" t="n">
        <v>0</v>
      </c>
      <c r="W34" s="272" t="n"/>
      <c r="X34" s="97" t="n">
        <v>0</v>
      </c>
      <c r="Y34" s="272" t="n"/>
      <c r="Z34" s="97" t="n">
        <v>0</v>
      </c>
      <c r="AA34" s="272" t="n"/>
      <c r="AB34" s="97" t="n">
        <v>0</v>
      </c>
      <c r="AC34" s="272" t="n"/>
    </row>
    <row r="35">
      <c r="A35" s="165" t="inlineStr">
        <is>
          <t xml:space="preserve">      Cost of Sales - Retail</t>
        </is>
      </c>
      <c r="B35" s="166">
        <f>SUM(D35,F35,H35,J35,L35,N35,P35,R35,T35,V35,X35,Z35,AB35)</f>
        <v/>
      </c>
      <c r="C35" s="272">
        <f>SUM(E35,G35,I35,K35,M35,O35,Q35,S35,U35,W35,Y35,AA35,AC35)</f>
        <v/>
      </c>
      <c r="D35" s="97" t="n">
        <v>0</v>
      </c>
      <c r="E35" s="272" t="n"/>
      <c r="F35" s="97" t="n">
        <v>0</v>
      </c>
      <c r="G35" s="272" t="n"/>
      <c r="H35" s="97" t="n">
        <v>0</v>
      </c>
      <c r="I35" s="272" t="n"/>
      <c r="J35" s="97" t="n">
        <v>0</v>
      </c>
      <c r="K35" s="272" t="n"/>
      <c r="L35" s="97" t="n">
        <v>0</v>
      </c>
      <c r="M35" s="272" t="n"/>
      <c r="N35" s="97" t="n">
        <v>0</v>
      </c>
      <c r="O35" s="272" t="n"/>
      <c r="P35" s="97" t="n">
        <v>0</v>
      </c>
      <c r="Q35" s="272" t="n"/>
      <c r="R35" s="97" t="n">
        <v>0</v>
      </c>
      <c r="S35" s="272" t="n"/>
      <c r="T35" s="97" t="n">
        <v>0</v>
      </c>
      <c r="U35" s="272" t="n"/>
      <c r="V35" s="97" t="n">
        <v>0</v>
      </c>
      <c r="W35" s="272" t="n"/>
      <c r="X35" s="97" t="n">
        <v>0</v>
      </c>
      <c r="Y35" s="272" t="n"/>
      <c r="Z35" s="97" t="n">
        <v>0</v>
      </c>
      <c r="AA35" s="272" t="n"/>
      <c r="AB35" s="97" t="n">
        <v>0</v>
      </c>
      <c r="AC35" s="272" t="n"/>
    </row>
    <row r="36">
      <c r="A36" s="165" t="inlineStr">
        <is>
          <t xml:space="preserve">      Reconciliation Discrepancies</t>
        </is>
      </c>
      <c r="B36" s="166">
        <f>SUM(D36,F36,H36,J36,L36,N36,P36,R36,T36,V36,X36,Z36,AB36)</f>
        <v/>
      </c>
      <c r="C36" s="272">
        <f>SUM(B36,E36,G36,I36,K36,M36,O36,Q36,S36,U36,W36,Y36,AA36,AC36)</f>
        <v/>
      </c>
      <c r="D36" s="97" t="n">
        <v>0</v>
      </c>
      <c r="E36" s="272" t="n"/>
      <c r="F36" s="97" t="n">
        <v>0</v>
      </c>
      <c r="G36" s="272" t="n"/>
      <c r="H36" s="97" t="n">
        <v>0</v>
      </c>
      <c r="I36" s="272" t="n"/>
      <c r="J36" s="97" t="n">
        <v>0</v>
      </c>
      <c r="K36" s="272" t="n"/>
      <c r="L36" s="97" t="n">
        <v>0</v>
      </c>
      <c r="M36" s="272" t="n"/>
      <c r="N36" s="97" t="n">
        <v>0</v>
      </c>
      <c r="O36" s="272" t="n"/>
      <c r="P36" s="97" t="n">
        <v>0</v>
      </c>
      <c r="Q36" s="272" t="n"/>
      <c r="R36" s="97" t="n">
        <v>0</v>
      </c>
      <c r="S36" s="272" t="n"/>
      <c r="T36" s="97" t="n">
        <v>0</v>
      </c>
      <c r="U36" s="272" t="n"/>
      <c r="V36" s="97" t="n">
        <v>0</v>
      </c>
      <c r="W36" s="272" t="n"/>
      <c r="X36" s="97" t="n">
        <v>0</v>
      </c>
      <c r="Y36" s="272" t="n"/>
      <c r="Z36" s="97" t="n">
        <v>0</v>
      </c>
      <c r="AA36" s="272" t="n"/>
      <c r="AB36" s="97" t="n">
        <v>0</v>
      </c>
      <c r="AC36" s="272" t="n"/>
    </row>
    <row r="37">
      <c r="A37" s="167" t="inlineStr">
        <is>
          <t xml:space="preserve">      Cost of Sales - Waste</t>
        </is>
      </c>
      <c r="B37" s="168" t="n"/>
      <c r="C37" s="279" t="n"/>
      <c r="D37" s="169" t="n"/>
      <c r="E37" s="279" t="n"/>
      <c r="F37" s="169" t="n"/>
      <c r="G37" s="279" t="n"/>
      <c r="H37" s="169" t="n"/>
      <c r="I37" s="279" t="n"/>
      <c r="J37" s="169" t="n"/>
      <c r="K37" s="279" t="n"/>
      <c r="L37" s="169" t="n"/>
      <c r="M37" s="279" t="n"/>
      <c r="N37" s="169" t="n"/>
      <c r="O37" s="279" t="n"/>
      <c r="P37" s="169" t="n"/>
      <c r="Q37" s="279" t="n"/>
      <c r="R37" s="169" t="n"/>
      <c r="S37" s="279" t="n"/>
      <c r="T37" s="169" t="n"/>
      <c r="U37" s="279" t="n"/>
      <c r="V37" s="169" t="n"/>
      <c r="W37" s="279" t="n"/>
      <c r="X37" s="169" t="n"/>
      <c r="Y37" s="279" t="n"/>
      <c r="Z37" s="169" t="n"/>
      <c r="AA37" s="279" t="n"/>
      <c r="AB37" s="169" t="n"/>
      <c r="AC37" s="279" t="n"/>
    </row>
    <row r="38">
      <c r="A38" s="170" t="inlineStr">
        <is>
          <t xml:space="preserve">   Total Cost of Food &amp; Beverage - COS</t>
        </is>
      </c>
      <c r="B38" s="171">
        <f>SUM(B32:B36)</f>
        <v/>
      </c>
      <c r="C38" s="269">
        <f>SUM(C32:C36)</f>
        <v/>
      </c>
      <c r="D38" s="171">
        <f>SUM(D32:D36)</f>
        <v/>
      </c>
      <c r="E38" s="269" t="n"/>
      <c r="F38" s="171">
        <f>SUM(F32:F36)</f>
        <v/>
      </c>
      <c r="G38" s="269" t="n"/>
      <c r="H38" s="171">
        <f>SUM(H32:H36)</f>
        <v/>
      </c>
      <c r="I38" s="269" t="n"/>
      <c r="J38" s="171">
        <f>SUM(J32:J36)</f>
        <v/>
      </c>
      <c r="K38" s="269" t="n"/>
      <c r="L38" s="171">
        <f>SUM(L32:L36)</f>
        <v/>
      </c>
      <c r="M38" s="269" t="n"/>
      <c r="N38" s="171">
        <f>SUM(N32:N36)</f>
        <v/>
      </c>
      <c r="O38" s="269" t="n"/>
      <c r="P38" s="171">
        <f>SUM(P32:P36)</f>
        <v/>
      </c>
      <c r="Q38" s="269" t="n"/>
      <c r="R38" s="171">
        <f>SUM(R32:R36)</f>
        <v/>
      </c>
      <c r="S38" s="269" t="n"/>
      <c r="T38" s="171">
        <f>SUM(T32:T36)</f>
        <v/>
      </c>
      <c r="U38" s="269" t="n"/>
      <c r="V38" s="171">
        <f>SUM(V32:V36)</f>
        <v/>
      </c>
      <c r="W38" s="269" t="n"/>
      <c r="X38" s="171">
        <f>SUM(X32:X36)</f>
        <v/>
      </c>
      <c r="Y38" s="269" t="n"/>
      <c r="Z38" s="171">
        <f>SUM(Z32:Z36)</f>
        <v/>
      </c>
      <c r="AA38" s="269" t="n"/>
      <c r="AB38" s="171">
        <f>SUM(AB32:AB36)</f>
        <v/>
      </c>
      <c r="AC38" s="269" t="n"/>
    </row>
    <row r="39">
      <c r="A39" s="172" t="inlineStr">
        <is>
          <t>F&amp;B Costs %</t>
        </is>
      </c>
      <c r="B39" s="166" t="n"/>
      <c r="C39" s="173" t="n"/>
      <c r="D39" s="166" t="n"/>
      <c r="E39" s="173" t="n"/>
      <c r="F39" s="166" t="n"/>
      <c r="G39" s="173" t="n"/>
      <c r="H39" s="166" t="n"/>
      <c r="I39" s="173" t="n"/>
      <c r="J39" s="166" t="n"/>
      <c r="K39" s="173" t="n"/>
      <c r="L39" s="166" t="n"/>
      <c r="M39" s="173" t="n"/>
      <c r="N39" s="166" t="n"/>
      <c r="O39" s="173" t="n"/>
      <c r="P39" s="166" t="n"/>
      <c r="Q39" s="173" t="n"/>
      <c r="R39" s="166" t="n"/>
      <c r="S39" s="173" t="n"/>
      <c r="T39" s="166" t="n"/>
      <c r="U39" s="93" t="n"/>
      <c r="V39" s="166" t="n"/>
      <c r="W39" s="93" t="n"/>
      <c r="X39" s="166" t="n"/>
      <c r="Y39" s="93" t="n"/>
      <c r="Z39" s="166" t="n"/>
      <c r="AA39" s="93" t="n"/>
      <c r="AB39" s="166" t="n"/>
      <c r="AC39" s="93" t="n"/>
    </row>
    <row r="40">
      <c r="A40" s="91" t="inlineStr">
        <is>
          <t xml:space="preserve">   Event Costs of Services - COS</t>
        </is>
      </c>
      <c r="B40" s="92" t="n"/>
      <c r="C40" s="93" t="n"/>
      <c r="D40" s="97" t="n">
        <v>0</v>
      </c>
      <c r="E40" s="93" t="n"/>
      <c r="F40" s="97" t="n">
        <v>0</v>
      </c>
      <c r="G40" s="93" t="n"/>
      <c r="H40" s="97" t="n">
        <v>0</v>
      </c>
      <c r="I40" s="93" t="n"/>
      <c r="J40" s="97" t="n">
        <v>0</v>
      </c>
      <c r="K40" s="93" t="n"/>
      <c r="L40" s="97" t="n">
        <v>0</v>
      </c>
      <c r="M40" s="93" t="n"/>
      <c r="N40" s="97" t="n">
        <v>0</v>
      </c>
      <c r="O40" s="93" t="n"/>
      <c r="P40" s="97" t="n">
        <v>0</v>
      </c>
      <c r="Q40" s="93" t="n"/>
      <c r="R40" s="97" t="n">
        <v>0</v>
      </c>
      <c r="S40" s="93" t="n"/>
      <c r="T40" s="97" t="n">
        <v>0</v>
      </c>
      <c r="U40" s="93" t="n"/>
      <c r="V40" s="97" t="n">
        <v>0</v>
      </c>
      <c r="W40" s="93" t="n"/>
      <c r="X40" s="97" t="n">
        <v>0</v>
      </c>
      <c r="Y40" s="93" t="n"/>
      <c r="Z40" s="97" t="n">
        <v>0</v>
      </c>
      <c r="AA40" s="93" t="n"/>
      <c r="AB40" s="97" t="n">
        <v>0</v>
      </c>
      <c r="AC40" s="93" t="n"/>
    </row>
    <row r="41">
      <c r="A41" s="292" t="inlineStr">
        <is>
          <t>Event Supplies Budget</t>
        </is>
      </c>
      <c r="B41" s="271">
        <f>SUM(D41,F41,H41,J41,L41,N41,P41,R41,T41,V41,X41,Z41,AB41)</f>
        <v/>
      </c>
      <c r="C41" s="272">
        <f>SUM(E41,G41,I41,K41,M41,O41,Q41,S41,U41,W41,Y41,AA41,AC41)</f>
        <v/>
      </c>
      <c r="D41" s="293" t="n">
        <v>1000</v>
      </c>
      <c r="E41" s="272" t="n"/>
      <c r="F41" s="293" t="n">
        <v>1000</v>
      </c>
      <c r="G41" s="272" t="n"/>
      <c r="H41" s="293" t="n">
        <v>1000</v>
      </c>
      <c r="I41" s="272" t="n"/>
      <c r="J41" s="293" t="n">
        <v>1000</v>
      </c>
      <c r="K41" s="272" t="n"/>
      <c r="L41" s="293" t="n">
        <v>1000</v>
      </c>
      <c r="M41" s="272" t="n"/>
      <c r="N41" s="293" t="n">
        <v>1000</v>
      </c>
      <c r="O41" s="272" t="n"/>
      <c r="P41" s="293" t="n">
        <v>1000</v>
      </c>
      <c r="Q41" s="272" t="n"/>
      <c r="R41" s="293" t="n">
        <v>1000</v>
      </c>
      <c r="S41" s="272" t="n"/>
      <c r="T41" s="293" t="n">
        <v>1000</v>
      </c>
      <c r="U41" s="272" t="n"/>
      <c r="V41" s="293" t="n">
        <v>1000</v>
      </c>
      <c r="W41" s="272" t="n"/>
      <c r="X41" s="293" t="n">
        <v>1000</v>
      </c>
      <c r="Y41" s="272" t="n"/>
      <c r="Z41" s="293" t="n">
        <v>1000</v>
      </c>
      <c r="AA41" s="272" t="n"/>
      <c r="AB41" s="293" t="n">
        <v>1000</v>
      </c>
      <c r="AC41" s="272" t="n"/>
    </row>
    <row r="42">
      <c r="A42" s="163" t="inlineStr">
        <is>
          <t xml:space="preserve">      Catering / Event Supplies - COS</t>
        </is>
      </c>
      <c r="B42" s="174" t="n"/>
      <c r="C42" s="272">
        <f>SUM(E42,G42,I42,K42,M42,O42,Q42,S42,U42,W42,Y42,AA42,AC42)</f>
        <v/>
      </c>
      <c r="D42" s="97" t="n">
        <v>0</v>
      </c>
      <c r="E42" s="272" t="n"/>
      <c r="F42" s="97" t="n">
        <v>0</v>
      </c>
      <c r="G42" s="272" t="n"/>
      <c r="H42" s="97" t="n">
        <v>0</v>
      </c>
      <c r="I42" s="272" t="n"/>
      <c r="J42" s="97" t="n">
        <v>0</v>
      </c>
      <c r="K42" s="272" t="n"/>
      <c r="L42" s="97" t="n">
        <v>0</v>
      </c>
      <c r="M42" s="272" t="n"/>
      <c r="N42" s="97" t="n">
        <v>0</v>
      </c>
      <c r="O42" s="272" t="n"/>
      <c r="P42" s="97" t="n">
        <v>0</v>
      </c>
      <c r="Q42" s="272" t="n"/>
      <c r="R42" s="97" t="n">
        <v>0</v>
      </c>
      <c r="S42" s="272" t="n"/>
      <c r="T42" s="97" t="n">
        <v>0</v>
      </c>
      <c r="U42" s="272" t="n"/>
      <c r="V42" s="97" t="n">
        <v>0</v>
      </c>
      <c r="W42" s="272" t="n"/>
      <c r="X42" s="97" t="n">
        <v>0</v>
      </c>
      <c r="Y42" s="272" t="n"/>
      <c r="Z42" s="97" t="n">
        <v>0</v>
      </c>
      <c r="AA42" s="272" t="n"/>
      <c r="AB42" s="97" t="n">
        <v>0</v>
      </c>
      <c r="AC42" s="272" t="n"/>
    </row>
    <row r="43">
      <c r="A43" s="163" t="inlineStr">
        <is>
          <t xml:space="preserve">      Catering / Food - COS</t>
        </is>
      </c>
      <c r="B43" s="174" t="n"/>
      <c r="C43" s="272">
        <f>SUM(E43,G43,I43,K43,M43,O43,Q43,S43,U43,W43,Y43,AA43,AC43)</f>
        <v/>
      </c>
      <c r="D43" s="97" t="n">
        <v>0</v>
      </c>
      <c r="E43" s="272" t="n"/>
      <c r="F43" s="97" t="n">
        <v>0</v>
      </c>
      <c r="G43" s="272" t="n"/>
      <c r="H43" s="97" t="n">
        <v>0</v>
      </c>
      <c r="I43" s="272" t="n"/>
      <c r="J43" s="97" t="n">
        <v>0</v>
      </c>
      <c r="K43" s="272" t="n"/>
      <c r="L43" s="97" t="n">
        <v>0</v>
      </c>
      <c r="M43" s="272" t="n"/>
      <c r="N43" s="97" t="n">
        <v>0</v>
      </c>
      <c r="O43" s="272" t="n"/>
      <c r="P43" s="97" t="n">
        <v>0</v>
      </c>
      <c r="Q43" s="272" t="n"/>
      <c r="R43" s="97" t="n">
        <v>0</v>
      </c>
      <c r="S43" s="272" t="n"/>
      <c r="T43" s="97" t="n">
        <v>0</v>
      </c>
      <c r="U43" s="272" t="n"/>
      <c r="V43" s="97" t="n">
        <v>0</v>
      </c>
      <c r="W43" s="272" t="n"/>
      <c r="X43" s="97" t="n">
        <v>0</v>
      </c>
      <c r="Y43" s="272" t="n"/>
      <c r="Z43" s="97" t="n">
        <v>0</v>
      </c>
      <c r="AA43" s="272" t="n"/>
      <c r="AB43" s="97" t="n">
        <v>0</v>
      </c>
      <c r="AC43" s="272" t="n"/>
    </row>
    <row r="44">
      <c r="A44" s="175" t="inlineStr">
        <is>
          <t>Venue Rentals</t>
        </is>
      </c>
      <c r="B44" s="176" t="n"/>
      <c r="C44" s="279">
        <f>SUM(B44,E44,G44,I44,K44,M44,O44,Q44,S44,U44,W44,Y44,AA44,AC44)</f>
        <v/>
      </c>
      <c r="D44" s="169" t="n">
        <v>0</v>
      </c>
      <c r="E44" s="279" t="n"/>
      <c r="F44" s="169" t="n">
        <v>0</v>
      </c>
      <c r="G44" s="279" t="n"/>
      <c r="H44" s="169" t="n">
        <v>0</v>
      </c>
      <c r="I44" s="279" t="n"/>
      <c r="J44" s="169" t="n">
        <v>0</v>
      </c>
      <c r="K44" s="279" t="n"/>
      <c r="L44" s="169" t="n">
        <v>0</v>
      </c>
      <c r="M44" s="279" t="n"/>
      <c r="N44" s="169" t="n">
        <v>0</v>
      </c>
      <c r="O44" s="279" t="n"/>
      <c r="P44" s="169" t="n">
        <v>0</v>
      </c>
      <c r="Q44" s="294" t="n"/>
      <c r="R44" s="169" t="n">
        <v>0</v>
      </c>
      <c r="S44" s="279" t="n"/>
      <c r="T44" s="169" t="n">
        <v>0</v>
      </c>
      <c r="U44" s="279" t="n"/>
      <c r="V44" s="169" t="n">
        <v>0</v>
      </c>
      <c r="W44" s="279" t="n"/>
      <c r="X44" s="169" t="n">
        <v>0</v>
      </c>
      <c r="Y44" s="279" t="n"/>
      <c r="Z44" s="169" t="n">
        <v>0</v>
      </c>
      <c r="AA44" s="279" t="n"/>
      <c r="AB44" s="169" t="n">
        <v>0</v>
      </c>
      <c r="AC44" s="279" t="n"/>
    </row>
    <row r="45">
      <c r="A45" s="170" t="inlineStr">
        <is>
          <t xml:space="preserve">   Total Event Costs of Services - COS</t>
        </is>
      </c>
      <c r="B45" s="178">
        <f>SUM(B41:B44)</f>
        <v/>
      </c>
      <c r="C45" s="269">
        <f>SUM(C40:C44)</f>
        <v/>
      </c>
      <c r="D45" s="178">
        <f>SUM(D41:D44)</f>
        <v/>
      </c>
      <c r="E45" s="269" t="n"/>
      <c r="F45" s="178">
        <f>SUM(F41:F44)</f>
        <v/>
      </c>
      <c r="G45" s="269" t="n"/>
      <c r="H45" s="178">
        <f>SUM(H41:H44)</f>
        <v/>
      </c>
      <c r="I45" s="269" t="n"/>
      <c r="J45" s="178">
        <f>SUM(J41:J44)</f>
        <v/>
      </c>
      <c r="K45" s="269" t="n"/>
      <c r="L45" s="178">
        <f>SUM(L41:L44)</f>
        <v/>
      </c>
      <c r="M45" s="269" t="n"/>
      <c r="N45" s="178">
        <f>SUM(N41:N44)</f>
        <v/>
      </c>
      <c r="O45" s="269" t="n"/>
      <c r="P45" s="178">
        <f>SUM(P41:P44)</f>
        <v/>
      </c>
      <c r="Q45" s="269" t="n"/>
      <c r="R45" s="178">
        <f>SUM(R41:R44)</f>
        <v/>
      </c>
      <c r="S45" s="269" t="n"/>
      <c r="T45" s="178">
        <f>SUM(T41:T44)</f>
        <v/>
      </c>
      <c r="U45" s="269" t="n"/>
      <c r="V45" s="178">
        <f>SUM(V41:V44)</f>
        <v/>
      </c>
      <c r="W45" s="269" t="n"/>
      <c r="X45" s="178">
        <f>SUM(X41:X44)</f>
        <v/>
      </c>
      <c r="Y45" s="269" t="n"/>
      <c r="Z45" s="178">
        <f>SUM(Z41:Z44)</f>
        <v/>
      </c>
      <c r="AA45" s="269" t="n"/>
      <c r="AB45" s="178">
        <f>SUM(AB41:AB44)</f>
        <v/>
      </c>
      <c r="AC45" s="269" t="n"/>
    </row>
    <row r="46">
      <c r="A46" s="163" t="n"/>
      <c r="B46" s="166" t="n"/>
      <c r="C46" s="179" t="n"/>
      <c r="D46" s="166" t="n"/>
      <c r="E46" s="179" t="n"/>
      <c r="F46" s="166" t="n"/>
      <c r="G46" s="179" t="n"/>
      <c r="H46" s="166" t="n"/>
      <c r="I46" s="179" t="n"/>
      <c r="J46" s="166" t="n"/>
      <c r="K46" s="179" t="n"/>
      <c r="L46" s="166" t="n"/>
      <c r="M46" s="179" t="n"/>
      <c r="N46" s="166" t="n"/>
      <c r="O46" s="179" t="n"/>
      <c r="P46" s="166" t="n"/>
      <c r="Q46" s="179" t="n"/>
      <c r="R46" s="166" t="n"/>
      <c r="S46" s="179" t="n"/>
      <c r="T46" s="166" t="n"/>
      <c r="U46" s="179" t="n"/>
      <c r="V46" s="166" t="n"/>
      <c r="W46" s="179" t="n"/>
      <c r="X46" s="166" t="n"/>
      <c r="Y46" s="179" t="n"/>
      <c r="Z46" s="166" t="n"/>
      <c r="AA46" s="179" t="n"/>
      <c r="AB46" s="166" t="n"/>
      <c r="AC46" s="179" t="n"/>
    </row>
    <row r="47">
      <c r="A47" s="91" t="inlineStr">
        <is>
          <t xml:space="preserve">   Rest. &amp; Hotel Costs of Services - COS</t>
        </is>
      </c>
      <c r="B47" s="166">
        <f>SUM(D47,F47,H47,J47,L47,N47,P47,R47,T47,V47,X47,Z47,AB47)</f>
        <v/>
      </c>
      <c r="C47" s="93" t="n"/>
      <c r="D47" s="97" t="n">
        <v>0</v>
      </c>
      <c r="E47" s="93" t="n"/>
      <c r="F47" s="97" t="n">
        <v>0</v>
      </c>
      <c r="G47" s="93" t="n"/>
      <c r="H47" s="97" t="n">
        <v>0</v>
      </c>
      <c r="I47" s="93" t="n"/>
      <c r="J47" s="97" t="n">
        <v>0</v>
      </c>
      <c r="K47" s="93" t="n"/>
      <c r="L47" s="97" t="n">
        <v>0</v>
      </c>
      <c r="M47" s="93" t="n"/>
      <c r="N47" s="97" t="n">
        <v>0</v>
      </c>
      <c r="O47" s="93" t="n"/>
      <c r="P47" s="97" t="n">
        <v>0</v>
      </c>
      <c r="Q47" s="93" t="n"/>
      <c r="R47" s="97" t="n">
        <v>0</v>
      </c>
      <c r="S47" s="93" t="n"/>
      <c r="T47" s="97" t="n">
        <v>0</v>
      </c>
      <c r="U47" s="93" t="n"/>
      <c r="V47" s="97" t="n">
        <v>0</v>
      </c>
      <c r="W47" s="93" t="n"/>
      <c r="X47" s="97" t="n">
        <v>0</v>
      </c>
      <c r="Y47" s="93" t="n"/>
      <c r="Z47" s="97" t="n">
        <v>0</v>
      </c>
      <c r="AA47" s="93" t="n"/>
      <c r="AB47" s="97" t="n">
        <v>0</v>
      </c>
      <c r="AC47" s="93" t="n"/>
    </row>
    <row r="48">
      <c r="A48" s="91" t="inlineStr">
        <is>
          <t xml:space="preserve">      Bank &amp; Credit Card Fees - COS</t>
        </is>
      </c>
      <c r="B48" s="166">
        <f>SUM(D48,F48,H48,J48,L48,N48,P48,R48,T48,V48,X48,Z48,AB48)</f>
        <v/>
      </c>
      <c r="C48" s="272">
        <f>SUM(E48,G48,I48,K48,M48,O48,Q48,S48,U48,W48,Y48,AA48,AC48)</f>
        <v/>
      </c>
      <c r="D48" s="97">
        <f>SUM(D28)*0.035</f>
        <v/>
      </c>
      <c r="E48" s="272" t="n"/>
      <c r="F48" s="97">
        <f>SUM(F28)*0.035</f>
        <v/>
      </c>
      <c r="G48" s="272" t="n"/>
      <c r="H48" s="97">
        <f>SUM(H28)*0.035</f>
        <v/>
      </c>
      <c r="I48" s="272" t="n"/>
      <c r="J48" s="97">
        <f>SUM(J28)*0.035</f>
        <v/>
      </c>
      <c r="K48" s="272" t="n"/>
      <c r="L48" s="97">
        <f>SUM(L28)*0.035</f>
        <v/>
      </c>
      <c r="M48" s="272" t="n"/>
      <c r="N48" s="97">
        <f>SUM(N28)*0.035</f>
        <v/>
      </c>
      <c r="O48" s="272" t="n"/>
      <c r="P48" s="97">
        <f>SUM(Q28)*0.035</f>
        <v/>
      </c>
      <c r="Q48" s="272" t="n"/>
      <c r="R48" s="97">
        <f>SUM(R28)*0.035</f>
        <v/>
      </c>
      <c r="S48" s="272" t="n"/>
      <c r="T48" s="97">
        <f>SUM(T28)*0.035</f>
        <v/>
      </c>
      <c r="U48" s="272" t="n"/>
      <c r="V48" s="97">
        <f>SUM(V28)*0.035</f>
        <v/>
      </c>
      <c r="W48" s="272" t="n"/>
      <c r="X48" s="97">
        <f>SUM(X28)*0.035</f>
        <v/>
      </c>
      <c r="Y48" s="272" t="n"/>
      <c r="Z48" s="97">
        <f>SUM(Z28)*0.035</f>
        <v/>
      </c>
      <c r="AA48" s="272" t="n"/>
      <c r="AB48" s="97">
        <f>SUM(AB28)*0.035</f>
        <v/>
      </c>
      <c r="AC48" s="272" t="n"/>
    </row>
    <row r="49">
      <c r="A49" s="91" t="inlineStr">
        <is>
          <t xml:space="preserve">      Cash Tips - COS</t>
        </is>
      </c>
      <c r="B49" s="166">
        <f>SUM(D49,F49,H49,J49,L49,N49,P49,R49,T49,V49,X49,Z49,AB49)</f>
        <v/>
      </c>
      <c r="C49" s="272">
        <f>SUM(E49,G49,I49,K49,M49,O49,Q49,S49,U49,W49,Y49,AA49,AC49)</f>
        <v/>
      </c>
      <c r="D49" s="97" t="n">
        <v>0</v>
      </c>
      <c r="E49" s="272" t="n"/>
      <c r="F49" s="97" t="n">
        <v>0</v>
      </c>
      <c r="G49" s="272" t="n"/>
      <c r="H49" s="97" t="n">
        <v>0</v>
      </c>
      <c r="I49" s="272" t="n"/>
      <c r="J49" s="97" t="n">
        <v>0</v>
      </c>
      <c r="K49" s="272" t="n"/>
      <c r="L49" s="97" t="n">
        <v>0</v>
      </c>
      <c r="M49" s="272" t="n"/>
      <c r="N49" s="97" t="n">
        <v>0</v>
      </c>
      <c r="O49" s="272" t="n"/>
      <c r="P49" s="97" t="n">
        <v>0</v>
      </c>
      <c r="Q49" s="272" t="n"/>
      <c r="R49" s="97" t="n">
        <v>0</v>
      </c>
      <c r="S49" s="272" t="n"/>
      <c r="T49" s="97" t="n">
        <v>0</v>
      </c>
      <c r="U49" s="272" t="n"/>
      <c r="V49" s="97" t="n">
        <v>0</v>
      </c>
      <c r="W49" s="272" t="n"/>
      <c r="X49" s="97" t="n">
        <v>0</v>
      </c>
      <c r="Y49" s="272" t="n"/>
      <c r="Z49" s="97" t="n">
        <v>0</v>
      </c>
      <c r="AA49" s="272" t="n"/>
      <c r="AB49" s="97" t="n">
        <v>0</v>
      </c>
      <c r="AC49" s="272" t="n"/>
    </row>
    <row r="50">
      <c r="A50" s="91" t="inlineStr">
        <is>
          <t xml:space="preserve">      Contract Labor - COS</t>
        </is>
      </c>
      <c r="B50" s="166">
        <f>SUM(D50,F50,H50,J50,L50,N50,P50,R50,T50,V50,X50,Z50,AB50)</f>
        <v/>
      </c>
      <c r="C50" s="272">
        <f>SUM(E50,G50,I50,K50,M50,O50,Q50,S50,U50,W50,Y50,AA50,AC50)</f>
        <v/>
      </c>
      <c r="D50" s="97" t="n">
        <v>0</v>
      </c>
      <c r="E50" s="272" t="n"/>
      <c r="F50" s="97" t="n">
        <v>0</v>
      </c>
      <c r="G50" s="272" t="n"/>
      <c r="H50" s="97" t="n">
        <v>0</v>
      </c>
      <c r="I50" s="272" t="n"/>
      <c r="J50" s="97" t="n">
        <v>0</v>
      </c>
      <c r="K50" s="272" t="n"/>
      <c r="L50" s="97" t="n">
        <v>0</v>
      </c>
      <c r="M50" s="272" t="n"/>
      <c r="N50" s="97" t="n">
        <v>0</v>
      </c>
      <c r="O50" s="272" t="n"/>
      <c r="P50" s="97" t="n">
        <v>0</v>
      </c>
      <c r="Q50" s="272" t="n"/>
      <c r="R50" s="97" t="n">
        <v>0</v>
      </c>
      <c r="S50" s="272" t="n"/>
      <c r="T50" s="97" t="n">
        <v>0</v>
      </c>
      <c r="U50" s="272" t="n"/>
      <c r="V50" s="97" t="n">
        <v>0</v>
      </c>
      <c r="W50" s="272" t="n"/>
      <c r="X50" s="97" t="n">
        <v>0</v>
      </c>
      <c r="Y50" s="272" t="n"/>
      <c r="Z50" s="97" t="n">
        <v>0</v>
      </c>
      <c r="AA50" s="272" t="n"/>
      <c r="AB50" s="97" t="n">
        <v>0</v>
      </c>
      <c r="AC50" s="272" t="n"/>
    </row>
    <row r="51">
      <c r="A51" s="91" t="inlineStr">
        <is>
          <t xml:space="preserve">      Entertainment - COS</t>
        </is>
      </c>
      <c r="B51" s="166">
        <f>SUM(D51,F51,H51,J51,L51,N51,P51,R51,T51,V51,X51,Z51,AB51)</f>
        <v/>
      </c>
      <c r="C51" s="272">
        <f>SUM(E51,G51,I51,K51,M51,O51,Q51,S51,U51,W51,Y51,AA51,AC51)</f>
        <v/>
      </c>
      <c r="D51" s="97" t="n">
        <v>2000</v>
      </c>
      <c r="E51" s="272" t="n"/>
      <c r="F51" s="97" t="n">
        <v>2000</v>
      </c>
      <c r="G51" s="272" t="n"/>
      <c r="H51" s="97" t="n">
        <v>2000</v>
      </c>
      <c r="I51" s="272" t="n"/>
      <c r="J51" s="97" t="n">
        <v>2000</v>
      </c>
      <c r="K51" s="272" t="n"/>
      <c r="L51" s="97" t="n">
        <v>2000</v>
      </c>
      <c r="M51" s="272" t="n"/>
      <c r="N51" s="97" t="n">
        <v>2000</v>
      </c>
      <c r="O51" s="272" t="n"/>
      <c r="P51" s="97" t="n">
        <v>2000</v>
      </c>
      <c r="Q51" s="272" t="n"/>
      <c r="R51" s="97" t="n">
        <v>2000</v>
      </c>
      <c r="S51" s="272" t="n"/>
      <c r="T51" s="97" t="n">
        <v>2000</v>
      </c>
      <c r="U51" s="272" t="n"/>
      <c r="V51" s="97" t="n">
        <v>2000</v>
      </c>
      <c r="W51" s="272" t="n"/>
      <c r="X51" s="97" t="n">
        <v>2000</v>
      </c>
      <c r="Y51" s="272" t="n"/>
      <c r="Z51" s="97" t="n">
        <v>2000</v>
      </c>
      <c r="AA51" s="272" t="n"/>
      <c r="AB51" s="97" t="n">
        <v>2000</v>
      </c>
      <c r="AC51" s="272" t="n"/>
    </row>
    <row r="52">
      <c r="A52" s="180" t="inlineStr">
        <is>
          <t>Total Labor Budget</t>
        </is>
      </c>
      <c r="B52" s="166">
        <f>SUM(D52,F52,H52,J52,L52,N52,P52,R52,T52,V52,X52,Z52,AB52)</f>
        <v/>
      </c>
      <c r="C52" s="272">
        <f>SUM(E52,G52,I52,K52,M52,O52,Q52,S52,U52,W52,Y52,AA52,AC52)</f>
        <v/>
      </c>
      <c r="D52" s="295">
        <f>ROUND(D26*0.33+D11*0.33+D19*0.464,2)</f>
        <v/>
      </c>
      <c r="E52" s="272" t="n"/>
      <c r="F52" s="295">
        <f>ROUND(F26*0.33+F11*0.33+F19*0.464,2)</f>
        <v/>
      </c>
      <c r="G52" s="272" t="n"/>
      <c r="H52" s="295">
        <f>ROUND(H26*0.33+H11*0.33+H19*0.464,2)</f>
        <v/>
      </c>
      <c r="I52" s="272" t="n"/>
      <c r="J52" s="295">
        <f>ROUND(J26*0.33+J11*0.33+J19*0.464,2)</f>
        <v/>
      </c>
      <c r="K52" s="272" t="n"/>
      <c r="L52" s="295">
        <f>ROUND(L26*0.33+L11*0.33+L19*0.464,2)</f>
        <v/>
      </c>
      <c r="M52" s="272" t="n"/>
      <c r="N52" s="295">
        <f>ROUND(N26*0.33+N11*0.33+N19*0.464,2)</f>
        <v/>
      </c>
      <c r="O52" s="272" t="n"/>
      <c r="P52" s="295">
        <f>ROUND(P26*0.33+P11*0.33+P19*0.464,2)</f>
        <v/>
      </c>
      <c r="Q52" s="272" t="n"/>
      <c r="R52" s="295">
        <f>ROUND(R26*0.33+R11*0.33+R19*0.464,2)</f>
        <v/>
      </c>
      <c r="S52" s="272" t="n"/>
      <c r="T52" s="295">
        <f>ROUND(T26*0.33+T11*0.33+T19*0.464,2)</f>
        <v/>
      </c>
      <c r="U52" s="272" t="n"/>
      <c r="V52" s="295">
        <f>ROUND(V26*0.33+V11*0.33+V19*0.464,2)</f>
        <v/>
      </c>
      <c r="W52" s="272" t="n"/>
      <c r="X52" s="295">
        <f>ROUND(X26*0.33+X11*0.33+X19*0.464,2)</f>
        <v/>
      </c>
      <c r="Y52" s="272" t="n"/>
      <c r="Z52" s="295">
        <f>ROUND(Z26*0.33+Z11*0.33+Z19*0.464,2)</f>
        <v/>
      </c>
      <c r="AA52" s="272" t="n"/>
      <c r="AB52" s="295">
        <f>ROUND(AB26*0.33+AB11*0.33+AB19*0.464,2)</f>
        <v/>
      </c>
      <c r="AC52" s="272" t="n"/>
    </row>
    <row r="53">
      <c r="A53" s="165" t="inlineStr">
        <is>
          <t xml:space="preserve">      Payroll Service Fees - COS</t>
        </is>
      </c>
      <c r="B53" s="166">
        <f>SUM(D53,F53,H53,J53,L53,N53,P53,R53,T53,V53,X53,Z53,AB53)</f>
        <v/>
      </c>
      <c r="C53" s="272">
        <f>SUM(E53,G53,I53,K53,M53,O53,Q53,S53,U53,W53,Y53,AA53,AC53)</f>
        <v/>
      </c>
      <c r="D53" s="97" t="n">
        <v>0</v>
      </c>
      <c r="E53" s="272" t="n"/>
      <c r="F53" s="97" t="n">
        <v>0</v>
      </c>
      <c r="G53" s="272" t="n"/>
      <c r="H53" s="97" t="n">
        <v>0</v>
      </c>
      <c r="I53" s="272" t="n"/>
      <c r="J53" s="97" t="n">
        <v>0</v>
      </c>
      <c r="K53" s="272" t="n"/>
      <c r="L53" s="97" t="n">
        <v>0</v>
      </c>
      <c r="M53" s="272" t="n"/>
      <c r="N53" s="97" t="n">
        <v>0</v>
      </c>
      <c r="O53" s="272" t="n"/>
      <c r="P53" s="97" t="n">
        <v>0</v>
      </c>
      <c r="Q53" s="272" t="n"/>
      <c r="R53" s="97" t="n">
        <v>0</v>
      </c>
      <c r="S53" s="272" t="n"/>
      <c r="T53" s="97" t="n">
        <v>0</v>
      </c>
      <c r="U53" s="272" t="n"/>
      <c r="V53" s="97" t="n">
        <v>0</v>
      </c>
      <c r="W53" s="272" t="n"/>
      <c r="X53" s="97" t="n">
        <v>0</v>
      </c>
      <c r="Y53" s="272" t="n"/>
      <c r="Z53" s="97" t="n">
        <v>0</v>
      </c>
      <c r="AA53" s="272" t="n"/>
      <c r="AB53" s="97" t="n">
        <v>0</v>
      </c>
      <c r="AC53" s="272" t="n"/>
    </row>
    <row r="54">
      <c r="A54" s="165" t="inlineStr">
        <is>
          <t xml:space="preserve">      Payroll Taxes - COS</t>
        </is>
      </c>
      <c r="B54" s="166">
        <f>SUM(D54,F54,H54,J54,L54,N54,P54,R54,T54,V54,X54,Z54,AB54)</f>
        <v/>
      </c>
      <c r="C54" s="272">
        <f>SUM(E54,G54,I54,K54,M54,O54,Q54,S54,U54,W54,Y54,AA54,AC54)</f>
        <v/>
      </c>
      <c r="D54" s="97" t="n">
        <v>0</v>
      </c>
      <c r="E54" s="272" t="n"/>
      <c r="F54" s="97" t="n">
        <v>0</v>
      </c>
      <c r="G54" s="272" t="n"/>
      <c r="H54" s="97" t="n">
        <v>0</v>
      </c>
      <c r="I54" s="272" t="n"/>
      <c r="J54" s="97" t="n">
        <v>0</v>
      </c>
      <c r="K54" s="272" t="n"/>
      <c r="L54" s="97" t="n">
        <v>0</v>
      </c>
      <c r="M54" s="272" t="n"/>
      <c r="N54" s="97" t="n">
        <v>0</v>
      </c>
      <c r="O54" s="272" t="n"/>
      <c r="P54" s="97" t="n">
        <v>0</v>
      </c>
      <c r="Q54" s="272" t="n"/>
      <c r="R54" s="97" t="n">
        <v>0</v>
      </c>
      <c r="S54" s="272" t="n"/>
      <c r="T54" s="97" t="n">
        <v>0</v>
      </c>
      <c r="U54" s="272" t="n"/>
      <c r="V54" s="97" t="n">
        <v>0</v>
      </c>
      <c r="W54" s="272" t="n"/>
      <c r="X54" s="97" t="n">
        <v>0</v>
      </c>
      <c r="Y54" s="272" t="n"/>
      <c r="Z54" s="97" t="n">
        <v>0</v>
      </c>
      <c r="AA54" s="272" t="n"/>
      <c r="AB54" s="97" t="n">
        <v>0</v>
      </c>
      <c r="AC54" s="272" t="n"/>
    </row>
    <row r="55">
      <c r="A55" s="165" t="inlineStr">
        <is>
          <t xml:space="preserve">      Payroll Wages - COS</t>
        </is>
      </c>
      <c r="B55" s="166">
        <f>SUM(D55,F55,H55,J55,L55,N55,P55,R55,T55,V55,X55,Z55,AB55)</f>
        <v/>
      </c>
      <c r="C55" s="272">
        <f>SUM(E55,G55,I55,K55,M55,O55,Q55,S55,U55,W55,Y55,AA55,AC55)</f>
        <v/>
      </c>
      <c r="D55" s="97" t="n">
        <v>0</v>
      </c>
      <c r="E55" s="272" t="n"/>
      <c r="F55" s="97" t="n">
        <v>0</v>
      </c>
      <c r="G55" s="272" t="n"/>
      <c r="H55" s="97" t="n">
        <v>0</v>
      </c>
      <c r="I55" s="272" t="n"/>
      <c r="J55" s="97" t="n">
        <v>0</v>
      </c>
      <c r="K55" s="272" t="n"/>
      <c r="L55" s="97" t="n">
        <v>0</v>
      </c>
      <c r="M55" s="272" t="n"/>
      <c r="N55" s="97" t="n">
        <v>0</v>
      </c>
      <c r="O55" s="272" t="n"/>
      <c r="P55" s="97" t="n">
        <v>0</v>
      </c>
      <c r="Q55" s="272" t="n"/>
      <c r="R55" s="97" t="n">
        <v>0</v>
      </c>
      <c r="S55" s="272" t="n"/>
      <c r="T55" s="97" t="n">
        <v>0</v>
      </c>
      <c r="U55" s="272" t="n"/>
      <c r="V55" s="97" t="n">
        <v>0</v>
      </c>
      <c r="W55" s="272" t="n"/>
      <c r="X55" s="97" t="n">
        <v>0</v>
      </c>
      <c r="Y55" s="272" t="n"/>
      <c r="Z55" s="97" t="n">
        <v>0</v>
      </c>
      <c r="AA55" s="272" t="n"/>
      <c r="AB55" s="97" t="n">
        <v>0</v>
      </c>
      <c r="AC55" s="272" t="n"/>
    </row>
    <row r="56">
      <c r="A56" s="165" t="inlineStr">
        <is>
          <t xml:space="preserve">      Payroll Wages - Mgmt - COS</t>
        </is>
      </c>
      <c r="B56" s="166">
        <f>SUM(D56,F56,H56,J56,L56,N56,P56,R56,T56,V56,X56,Z56,AB56)</f>
        <v/>
      </c>
      <c r="C56" s="272">
        <f>SUM(E56,G56,I56,K56,M56,O56,Q56,S56,U56,W56,Y56,AA56,AC56)</f>
        <v/>
      </c>
      <c r="D56" s="97" t="n">
        <v>0</v>
      </c>
      <c r="E56" s="272" t="n"/>
      <c r="F56" s="97" t="n">
        <v>0</v>
      </c>
      <c r="G56" s="272" t="n"/>
      <c r="H56" s="97" t="n">
        <v>0</v>
      </c>
      <c r="I56" s="272" t="n"/>
      <c r="J56" s="97" t="n">
        <v>0</v>
      </c>
      <c r="K56" s="272" t="n"/>
      <c r="L56" s="97" t="n">
        <v>0</v>
      </c>
      <c r="M56" s="272" t="n"/>
      <c r="N56" s="97" t="n">
        <v>0</v>
      </c>
      <c r="O56" s="272" t="n"/>
      <c r="P56" s="97" t="n">
        <v>0</v>
      </c>
      <c r="Q56" s="272" t="n"/>
      <c r="R56" s="97" t="n">
        <v>0</v>
      </c>
      <c r="S56" s="272" t="n"/>
      <c r="T56" s="97" t="n">
        <v>0</v>
      </c>
      <c r="U56" s="272" t="n"/>
      <c r="V56" s="97" t="n">
        <v>0</v>
      </c>
      <c r="W56" s="272" t="n"/>
      <c r="X56" s="97" t="n">
        <v>0</v>
      </c>
      <c r="Y56" s="272" t="n"/>
      <c r="Z56" s="97" t="n">
        <v>0</v>
      </c>
      <c r="AA56" s="272" t="n"/>
      <c r="AB56" s="97" t="n">
        <v>0</v>
      </c>
      <c r="AC56" s="272" t="n"/>
    </row>
    <row r="57">
      <c r="A57" s="165" t="inlineStr">
        <is>
          <t xml:space="preserve">      Payroll Wages Holiday &amp; PTO - COS</t>
        </is>
      </c>
      <c r="B57" s="166">
        <f>SUM(D57,F57,H57,J57,L57,N57,P57,R57,T57,V57,X57,Z57,AB57)</f>
        <v/>
      </c>
      <c r="C57" s="272">
        <f>SUM(E57,G57,I57,K57,M57,O57,Q57,S57,U57,W57,Y57,AA57,AC57)</f>
        <v/>
      </c>
      <c r="D57" s="97" t="n">
        <v>0</v>
      </c>
      <c r="E57" s="272" t="n"/>
      <c r="F57" s="97" t="n">
        <v>0</v>
      </c>
      <c r="G57" s="272" t="n"/>
      <c r="H57" s="97" t="n">
        <v>0</v>
      </c>
      <c r="I57" s="272" t="n"/>
      <c r="J57" s="97" t="n">
        <v>0</v>
      </c>
      <c r="K57" s="272" t="n"/>
      <c r="L57" s="97" t="n">
        <v>0</v>
      </c>
      <c r="M57" s="272" t="n"/>
      <c r="N57" s="97" t="n">
        <v>0</v>
      </c>
      <c r="O57" s="272" t="n"/>
      <c r="P57" s="97" t="n">
        <v>0</v>
      </c>
      <c r="Q57" s="272" t="n"/>
      <c r="R57" s="97" t="n">
        <v>0</v>
      </c>
      <c r="S57" s="272" t="n"/>
      <c r="T57" s="97" t="n">
        <v>0</v>
      </c>
      <c r="U57" s="272" t="n"/>
      <c r="V57" s="97" t="n">
        <v>0</v>
      </c>
      <c r="W57" s="272" t="n"/>
      <c r="X57" s="97" t="n">
        <v>0</v>
      </c>
      <c r="Y57" s="272" t="n"/>
      <c r="Z57" s="97" t="n">
        <v>0</v>
      </c>
      <c r="AA57" s="272" t="n"/>
      <c r="AB57" s="97" t="n">
        <v>0</v>
      </c>
      <c r="AC57" s="272" t="n"/>
    </row>
    <row r="58">
      <c r="A58" s="165" t="inlineStr">
        <is>
          <t xml:space="preserve">      Payroll Wages Hotel Staff - COS</t>
        </is>
      </c>
      <c r="B58" s="166">
        <f>SUM(D58,F58,H58,J58,L58,N58,P58,R58,T58,V58,X58,Z58,AB58)</f>
        <v/>
      </c>
      <c r="C58" s="272">
        <f>SUM(E58,G58,I58,K58,M58,O58,Q58,S58,U58,W58,Y58,AA58,AC58)</f>
        <v/>
      </c>
      <c r="D58" s="97" t="n">
        <v>0</v>
      </c>
      <c r="E58" s="272" t="n"/>
      <c r="F58" s="97" t="n">
        <v>0</v>
      </c>
      <c r="G58" s="272" t="n"/>
      <c r="H58" s="97" t="n">
        <v>0</v>
      </c>
      <c r="I58" s="272" t="n"/>
      <c r="J58" s="97" t="n">
        <v>0</v>
      </c>
      <c r="K58" s="272" t="n"/>
      <c r="L58" s="97" t="n">
        <v>0</v>
      </c>
      <c r="M58" s="272" t="n"/>
      <c r="N58" s="97" t="n">
        <v>0</v>
      </c>
      <c r="O58" s="272" t="n"/>
      <c r="P58" s="97" t="n">
        <v>0</v>
      </c>
      <c r="Q58" s="272" t="n"/>
      <c r="R58" s="97" t="n">
        <v>0</v>
      </c>
      <c r="S58" s="272" t="n"/>
      <c r="T58" s="97" t="n">
        <v>0</v>
      </c>
      <c r="U58" s="272" t="n"/>
      <c r="V58" s="97" t="n">
        <v>0</v>
      </c>
      <c r="W58" s="272" t="n"/>
      <c r="X58" s="97" t="n">
        <v>0</v>
      </c>
      <c r="Y58" s="272" t="n"/>
      <c r="Z58" s="97" t="n">
        <v>0</v>
      </c>
      <c r="AA58" s="272" t="n"/>
      <c r="AB58" s="97" t="n">
        <v>0</v>
      </c>
      <c r="AC58" s="272" t="n"/>
    </row>
    <row r="59">
      <c r="A59" s="165" t="inlineStr">
        <is>
          <t xml:space="preserve">      Payroll Wages OT - COS</t>
        </is>
      </c>
      <c r="B59" s="166">
        <f>SUM(D59,F59,H59,J59,L59,N59,P59,R59,T59,V59,X59,Z59,AB59)</f>
        <v/>
      </c>
      <c r="C59" s="272">
        <f>SUM(E59,G59,I59,K59,M59,O59,Q59,S59,U59,W59,Y59,AA59,AC59)</f>
        <v/>
      </c>
      <c r="D59" s="97" t="n">
        <v>0</v>
      </c>
      <c r="E59" s="272" t="n"/>
      <c r="F59" s="97" t="n">
        <v>0</v>
      </c>
      <c r="G59" s="272" t="n"/>
      <c r="H59" s="97" t="n">
        <v>0</v>
      </c>
      <c r="I59" s="272" t="n"/>
      <c r="J59" s="97" t="n">
        <v>0</v>
      </c>
      <c r="K59" s="272" t="n"/>
      <c r="L59" s="97" t="n">
        <v>0</v>
      </c>
      <c r="M59" s="272" t="n"/>
      <c r="N59" s="97" t="n">
        <v>0</v>
      </c>
      <c r="O59" s="272" t="n"/>
      <c r="P59" s="97" t="n">
        <v>0</v>
      </c>
      <c r="Q59" s="272" t="n"/>
      <c r="R59" s="97" t="n">
        <v>0</v>
      </c>
      <c r="S59" s="272" t="n"/>
      <c r="T59" s="97" t="n">
        <v>0</v>
      </c>
      <c r="U59" s="272" t="n"/>
      <c r="V59" s="97" t="n">
        <v>0</v>
      </c>
      <c r="W59" s="272" t="n"/>
      <c r="X59" s="97" t="n">
        <v>0</v>
      </c>
      <c r="Y59" s="272" t="n"/>
      <c r="Z59" s="97" t="n">
        <v>0</v>
      </c>
      <c r="AA59" s="272" t="n"/>
      <c r="AB59" s="97" t="n">
        <v>0</v>
      </c>
      <c r="AC59" s="272" t="n"/>
    </row>
    <row r="60">
      <c r="A60" s="165" t="inlineStr">
        <is>
          <t xml:space="preserve">      Payroll Worker's Comp - COS</t>
        </is>
      </c>
      <c r="B60" s="166">
        <f>SUM(D60,F60,H60,J60,L60,N60,P60,R60,T60,V60,X60,Z60,AB60)</f>
        <v/>
      </c>
      <c r="C60" s="272">
        <f>SUM(E60,G60,I60,K60,M60,O60,Q60,S60,U60,W60,Y60,AA60,AC60)</f>
        <v/>
      </c>
      <c r="D60" s="97" t="n">
        <v>0</v>
      </c>
      <c r="E60" s="272" t="n"/>
      <c r="F60" s="97" t="n">
        <v>0</v>
      </c>
      <c r="G60" s="272" t="n"/>
      <c r="H60" s="97" t="n">
        <v>0</v>
      </c>
      <c r="I60" s="272" t="n"/>
      <c r="J60" s="97" t="n">
        <v>0</v>
      </c>
      <c r="K60" s="272" t="n"/>
      <c r="L60" s="97" t="n">
        <v>0</v>
      </c>
      <c r="M60" s="272" t="n"/>
      <c r="N60" s="97" t="n">
        <v>0</v>
      </c>
      <c r="O60" s="272" t="n"/>
      <c r="P60" s="97" t="n">
        <v>0</v>
      </c>
      <c r="Q60" s="272" t="n"/>
      <c r="R60" s="97" t="n">
        <v>0</v>
      </c>
      <c r="S60" s="272" t="n"/>
      <c r="T60" s="97" t="n">
        <v>0</v>
      </c>
      <c r="U60" s="272" t="n"/>
      <c r="V60" s="97" t="n">
        <v>0</v>
      </c>
      <c r="W60" s="272" t="n"/>
      <c r="X60" s="97" t="n">
        <v>0</v>
      </c>
      <c r="Y60" s="272" t="n"/>
      <c r="Z60" s="97" t="n">
        <v>0</v>
      </c>
      <c r="AA60" s="272" t="n"/>
      <c r="AB60" s="97" t="n">
        <v>0</v>
      </c>
      <c r="AC60" s="272" t="n"/>
    </row>
    <row r="61">
      <c r="A61" s="91" t="inlineStr">
        <is>
          <t xml:space="preserve">      Repairs &amp; Maintenance - COS</t>
        </is>
      </c>
      <c r="B61" s="166">
        <f>SUM(D61,F61,H61,J61,L61,N61,P61,R61,T61,V61,X61,Z61,AB61)</f>
        <v/>
      </c>
      <c r="C61" s="272">
        <f>SUM(E61,G61,I61,K61,M61,O61,Q61,S61,U61,W61,Y61,AA61,AC61)</f>
        <v/>
      </c>
      <c r="D61" s="97" t="n">
        <v>4000</v>
      </c>
      <c r="E61" s="272" t="n"/>
      <c r="F61" s="97" t="n">
        <v>4000</v>
      </c>
      <c r="G61" s="272" t="n"/>
      <c r="H61" s="97" t="n">
        <v>4000</v>
      </c>
      <c r="I61" s="272" t="n"/>
      <c r="J61" s="97" t="n">
        <v>4000</v>
      </c>
      <c r="K61" s="272" t="n"/>
      <c r="L61" s="97" t="n">
        <v>4000</v>
      </c>
      <c r="M61" s="272" t="n"/>
      <c r="N61" s="97" t="n">
        <v>4000</v>
      </c>
      <c r="O61" s="272" t="n"/>
      <c r="P61" s="97" t="n">
        <v>4000</v>
      </c>
      <c r="Q61" s="272" t="n"/>
      <c r="R61" s="97" t="n">
        <v>4000</v>
      </c>
      <c r="S61" s="272" t="n"/>
      <c r="T61" s="97" t="n">
        <v>4000</v>
      </c>
      <c r="U61" s="272" t="n"/>
      <c r="V61" s="97" t="n">
        <v>4000</v>
      </c>
      <c r="W61" s="272" t="n"/>
      <c r="X61" s="97" t="n">
        <v>4000</v>
      </c>
      <c r="Y61" s="272" t="n"/>
      <c r="Z61" s="97" t="n">
        <v>4000</v>
      </c>
      <c r="AA61" s="272" t="n"/>
      <c r="AB61" s="97" t="n">
        <v>4000</v>
      </c>
      <c r="AC61" s="272" t="n"/>
    </row>
    <row r="62">
      <c r="A62" s="91" t="inlineStr">
        <is>
          <t xml:space="preserve">      Rooms Commissions</t>
        </is>
      </c>
      <c r="B62" s="166">
        <f>SUM(D62,F62,H62,J62,L62,N62,P62,R62,T62,V62,X62,Z62,AB62)</f>
        <v/>
      </c>
      <c r="C62" s="272">
        <f>SUM(E62,G62,I62,K62,M62,O62,Q62,S62,U62,W62,Y62,AA62,AC62)</f>
        <v/>
      </c>
      <c r="D62" s="97" t="n">
        <v>1000</v>
      </c>
      <c r="E62" s="272" t="n"/>
      <c r="F62" s="97" t="n">
        <v>1000</v>
      </c>
      <c r="G62" s="272" t="n"/>
      <c r="H62" s="97" t="n">
        <v>1000</v>
      </c>
      <c r="I62" s="272" t="n"/>
      <c r="J62" s="97" t="n">
        <v>1000</v>
      </c>
      <c r="K62" s="272" t="n"/>
      <c r="L62" s="97" t="n">
        <v>1000</v>
      </c>
      <c r="M62" s="272" t="n"/>
      <c r="N62" s="97" t="n">
        <v>1000</v>
      </c>
      <c r="O62" s="272" t="n"/>
      <c r="P62" s="97" t="n">
        <v>1000</v>
      </c>
      <c r="Q62" s="272" t="n"/>
      <c r="R62" s="97" t="n">
        <v>1000</v>
      </c>
      <c r="S62" s="272" t="n"/>
      <c r="T62" s="97" t="n">
        <v>1000</v>
      </c>
      <c r="U62" s="272" t="n"/>
      <c r="V62" s="97" t="n">
        <v>1000</v>
      </c>
      <c r="W62" s="272" t="n"/>
      <c r="X62" s="97" t="n">
        <v>1000</v>
      </c>
      <c r="Y62" s="272" t="n"/>
      <c r="Z62" s="97" t="n">
        <v>1000</v>
      </c>
      <c r="AA62" s="272" t="n"/>
      <c r="AB62" s="97" t="n">
        <v>1000</v>
      </c>
      <c r="AC62" s="272" t="n"/>
    </row>
    <row r="63">
      <c r="A63" s="91" t="inlineStr">
        <is>
          <t xml:space="preserve">      Sales Adjustments (Gain/Loss) - COS</t>
        </is>
      </c>
      <c r="B63" s="166">
        <f>SUM(D63,F63,H63,J63,L63,N63,P63,R63,T63,V63,X63,Z63,AB63)</f>
        <v/>
      </c>
      <c r="C63" s="272">
        <f>SUM(E63,G63,I63,K63,M63,O63,Q63,S63,U63,W63,Y63,AA63,AC63)</f>
        <v/>
      </c>
      <c r="D63" s="97" t="n">
        <v>0</v>
      </c>
      <c r="E63" s="272" t="n"/>
      <c r="F63" s="97" t="n">
        <v>0</v>
      </c>
      <c r="G63" s="272" t="n"/>
      <c r="H63" s="97" t="n">
        <v>0</v>
      </c>
      <c r="I63" s="272" t="n"/>
      <c r="J63" s="97" t="n">
        <v>0</v>
      </c>
      <c r="K63" s="272" t="n"/>
      <c r="L63" s="97" t="n">
        <v>0</v>
      </c>
      <c r="M63" s="272" t="n"/>
      <c r="N63" s="97" t="n">
        <v>0</v>
      </c>
      <c r="O63" s="272" t="n"/>
      <c r="P63" s="97" t="n">
        <v>0</v>
      </c>
      <c r="Q63" s="272" t="n"/>
      <c r="R63" s="97" t="n">
        <v>0</v>
      </c>
      <c r="S63" s="272" t="n"/>
      <c r="T63" s="97" t="n">
        <v>0</v>
      </c>
      <c r="U63" s="272" t="n"/>
      <c r="V63" s="97" t="n">
        <v>0</v>
      </c>
      <c r="W63" s="272" t="n"/>
      <c r="X63" s="97" t="n">
        <v>0</v>
      </c>
      <c r="Y63" s="272" t="n"/>
      <c r="Z63" s="97" t="n">
        <v>0</v>
      </c>
      <c r="AA63" s="272" t="n"/>
      <c r="AB63" s="97" t="n">
        <v>0</v>
      </c>
      <c r="AC63" s="272" t="n"/>
    </row>
    <row r="64">
      <c r="A64" s="91" t="inlineStr">
        <is>
          <t xml:space="preserve">      Supplies / Hotel - COS</t>
        </is>
      </c>
      <c r="B64" s="166">
        <f>SUM(D64,F64,H64,J64,L64,N64,P64,R64,T64,V64,X64,Z64,AB64)</f>
        <v/>
      </c>
      <c r="C64" s="272">
        <f>SUM(E64,G64,I64,K64,M64,O64,Q64,S64,U64,W64,Y64,AA64,AC64)</f>
        <v/>
      </c>
      <c r="D64" s="97" t="n">
        <v>5000</v>
      </c>
      <c r="E64" s="272" t="n"/>
      <c r="F64" s="97" t="n">
        <v>5000</v>
      </c>
      <c r="G64" s="272" t="n"/>
      <c r="H64" s="97" t="n">
        <v>5000</v>
      </c>
      <c r="I64" s="272" t="n"/>
      <c r="J64" s="97" t="n">
        <v>5000</v>
      </c>
      <c r="K64" s="272" t="n"/>
      <c r="L64" s="97" t="n">
        <v>5000</v>
      </c>
      <c r="M64" s="272" t="n"/>
      <c r="N64" s="97" t="n">
        <v>5000</v>
      </c>
      <c r="O64" s="272" t="n"/>
      <c r="P64" s="97" t="n">
        <v>5000</v>
      </c>
      <c r="Q64" s="272" t="n"/>
      <c r="R64" s="97" t="n">
        <v>5000</v>
      </c>
      <c r="S64" s="272" t="n"/>
      <c r="T64" s="97" t="n">
        <v>5000</v>
      </c>
      <c r="U64" s="272" t="n"/>
      <c r="V64" s="97" t="n">
        <v>5000</v>
      </c>
      <c r="W64" s="272" t="n"/>
      <c r="X64" s="97" t="n">
        <v>5000</v>
      </c>
      <c r="Y64" s="272" t="n"/>
      <c r="Z64" s="97" t="n">
        <v>5000</v>
      </c>
      <c r="AA64" s="272" t="n"/>
      <c r="AB64" s="97" t="n">
        <v>5000</v>
      </c>
      <c r="AC64" s="272" t="n"/>
    </row>
    <row r="65">
      <c r="A65" s="91" t="inlineStr">
        <is>
          <t xml:space="preserve">      Supplies / Restaurant - COS</t>
        </is>
      </c>
      <c r="B65" s="166">
        <f>SUM(D65,F65,H65,J65,L65,N65,P65,R65,T65,V65,X65,Z65,AB65)</f>
        <v/>
      </c>
      <c r="C65" s="272">
        <f>SUM(E65,G65,I65,K65,M65,O65,Q65,S65,U65,W65,Y65,AA65,AC65)</f>
        <v/>
      </c>
      <c r="D65" s="97" t="n">
        <v>9000</v>
      </c>
      <c r="E65" s="272" t="n"/>
      <c r="F65" s="97" t="n">
        <v>9000</v>
      </c>
      <c r="G65" s="272" t="n"/>
      <c r="H65" s="97" t="n">
        <v>9000</v>
      </c>
      <c r="I65" s="272" t="n"/>
      <c r="J65" s="97" t="n">
        <v>9000</v>
      </c>
      <c r="K65" s="272" t="n"/>
      <c r="L65" s="97" t="n">
        <v>9000</v>
      </c>
      <c r="M65" s="272" t="n"/>
      <c r="N65" s="97" t="n">
        <v>9000</v>
      </c>
      <c r="O65" s="272" t="n"/>
      <c r="P65" s="97" t="n">
        <v>9000</v>
      </c>
      <c r="Q65" s="272" t="n"/>
      <c r="R65" s="97" t="n">
        <v>9000</v>
      </c>
      <c r="S65" s="272" t="n"/>
      <c r="T65" s="97" t="n">
        <v>9000</v>
      </c>
      <c r="U65" s="272" t="n"/>
      <c r="V65" s="97" t="n">
        <v>9000</v>
      </c>
      <c r="W65" s="272" t="n"/>
      <c r="X65" s="97" t="n">
        <v>9000</v>
      </c>
      <c r="Y65" s="272" t="n"/>
      <c r="Z65" s="97" t="n">
        <v>9000</v>
      </c>
      <c r="AA65" s="272" t="n"/>
      <c r="AB65" s="97" t="n">
        <v>9000</v>
      </c>
      <c r="AC65" s="272" t="n"/>
    </row>
    <row r="66">
      <c r="A66" s="296" t="inlineStr">
        <is>
          <t xml:space="preserve">   Total Rest. &amp; Hotel Costs of Services - COS</t>
        </is>
      </c>
      <c r="B66" s="297">
        <f>SUM(B47:B65)</f>
        <v/>
      </c>
      <c r="C66" s="298">
        <f>SUM(C48:C65)</f>
        <v/>
      </c>
      <c r="D66" s="297">
        <f>SUM(D47:D65)</f>
        <v/>
      </c>
      <c r="E66" s="298" t="n"/>
      <c r="F66" s="297">
        <f>SUM(F47:F65)</f>
        <v/>
      </c>
      <c r="G66" s="298" t="n"/>
      <c r="H66" s="297">
        <f>SUM(H47:H65)</f>
        <v/>
      </c>
      <c r="I66" s="298" t="n"/>
      <c r="J66" s="297">
        <f>SUM(J47:J65)</f>
        <v/>
      </c>
      <c r="K66" s="298" t="n"/>
      <c r="L66" s="297">
        <f>SUM(L47:L65)</f>
        <v/>
      </c>
      <c r="M66" s="298" t="n"/>
      <c r="N66" s="297">
        <f>SUM(N47:N65)</f>
        <v/>
      </c>
      <c r="O66" s="298" t="n"/>
      <c r="P66" s="297">
        <f>SUM(P47:P65)</f>
        <v/>
      </c>
      <c r="Q66" s="298" t="n"/>
      <c r="R66" s="297">
        <f>SUM(R47:R65)</f>
        <v/>
      </c>
      <c r="S66" s="298" t="n"/>
      <c r="T66" s="297">
        <f>SUM(T47:T65)</f>
        <v/>
      </c>
      <c r="U66" s="298" t="n"/>
      <c r="V66" s="297">
        <f>SUM(V47:V65)</f>
        <v/>
      </c>
      <c r="W66" s="298" t="n"/>
      <c r="X66" s="297">
        <f>SUM(X47:X65)</f>
        <v/>
      </c>
      <c r="Y66" s="298" t="n"/>
      <c r="Z66" s="297">
        <f>SUM(Z47:Z65)</f>
        <v/>
      </c>
      <c r="AA66" s="298" t="n"/>
      <c r="AB66" s="297">
        <f>SUM(AB47:AB65)</f>
        <v/>
      </c>
      <c r="AC66" s="298" t="n"/>
    </row>
    <row r="67">
      <c r="A67" s="251" t="inlineStr">
        <is>
          <t>Total Cost of Goods Sold</t>
        </is>
      </c>
      <c r="B67" s="299">
        <f>SUM(B38,B45,B66)</f>
        <v/>
      </c>
      <c r="C67" s="253">
        <f>SUM(C38,C45,C66)</f>
        <v/>
      </c>
      <c r="D67" s="299">
        <f>SUM(D38,D45,D66)</f>
        <v/>
      </c>
      <c r="E67" s="253" t="n"/>
      <c r="F67" s="299">
        <f>SUM(F38,F45,F66)</f>
        <v/>
      </c>
      <c r="G67" s="253" t="n"/>
      <c r="H67" s="299">
        <f>SUM(H38,H45,H66)</f>
        <v/>
      </c>
      <c r="I67" s="253" t="n"/>
      <c r="J67" s="299">
        <f>SUM(J38,J45,J66)</f>
        <v/>
      </c>
      <c r="K67" s="253" t="n"/>
      <c r="L67" s="299">
        <f>SUM(L38,L45,L66)</f>
        <v/>
      </c>
      <c r="M67" s="253" t="n"/>
      <c r="N67" s="299">
        <f>SUM(N38,N45,N66)</f>
        <v/>
      </c>
      <c r="O67" s="253" t="n"/>
      <c r="P67" s="299">
        <f>SUM(P38,P45,P66)</f>
        <v/>
      </c>
      <c r="Q67" s="253" t="n"/>
      <c r="R67" s="299">
        <f>SUM(R38,R45,R66)</f>
        <v/>
      </c>
      <c r="S67" s="253" t="n"/>
      <c r="T67" s="299">
        <f>SUM(T38,T45,T66)</f>
        <v/>
      </c>
      <c r="U67" s="253" t="n"/>
      <c r="V67" s="299">
        <f>SUM(V38,V45,V66)</f>
        <v/>
      </c>
      <c r="W67" s="253" t="n"/>
      <c r="X67" s="299">
        <f>SUM(X38,X45,X66)</f>
        <v/>
      </c>
      <c r="Y67" s="253" t="n"/>
      <c r="Z67" s="299">
        <f>SUM(Z38,Z45,Z66)</f>
        <v/>
      </c>
      <c r="AA67" s="253" t="n"/>
      <c r="AB67" s="299">
        <f>SUM(AB38,AB45,AB66)</f>
        <v/>
      </c>
      <c r="AC67" s="253" t="n"/>
    </row>
    <row r="68">
      <c r="A68" s="172" t="inlineStr">
        <is>
          <t xml:space="preserve">Total Prime </t>
        </is>
      </c>
      <c r="B68" s="92" t="n"/>
      <c r="C68" s="93" t="n"/>
      <c r="D68" s="97" t="n"/>
      <c r="E68" s="173" t="n"/>
      <c r="F68" s="97" t="n"/>
      <c r="G68" s="173" t="n"/>
      <c r="H68" s="97" t="n"/>
      <c r="I68" s="173" t="n"/>
      <c r="J68" s="97" t="n"/>
      <c r="K68" s="173" t="n"/>
      <c r="L68" s="97" t="n"/>
      <c r="M68" s="173" t="n"/>
      <c r="N68" s="97" t="n"/>
      <c r="O68" s="173" t="n"/>
      <c r="P68" s="97" t="n"/>
      <c r="Q68" s="173" t="n"/>
      <c r="R68" s="97" t="n"/>
      <c r="S68" s="173" t="n"/>
      <c r="T68" s="97" t="n"/>
      <c r="U68" s="93" t="n"/>
      <c r="V68" s="97" t="n"/>
      <c r="W68" s="93" t="n"/>
      <c r="X68" s="97" t="n"/>
      <c r="Y68" s="93" t="n"/>
      <c r="Z68" s="97" t="n"/>
      <c r="AA68" s="93" t="n"/>
      <c r="AB68" s="97" t="n"/>
      <c r="AC68" s="93" t="n"/>
    </row>
    <row r="69">
      <c r="A69" s="288" t="inlineStr">
        <is>
          <t>Gross Profit</t>
        </is>
      </c>
      <c r="B69" s="300">
        <f>SUM(B28-B67)</f>
        <v/>
      </c>
      <c r="C69" s="289">
        <f>SUM(C28-C67)</f>
        <v/>
      </c>
      <c r="D69" s="300">
        <f>SUM(D28-D67)</f>
        <v/>
      </c>
      <c r="E69" s="289" t="n"/>
      <c r="F69" s="300">
        <f>SUM(F28-F67)</f>
        <v/>
      </c>
      <c r="G69" s="289" t="n"/>
      <c r="H69" s="300">
        <f>SUM(H28-H67)</f>
        <v/>
      </c>
      <c r="I69" s="289" t="n"/>
      <c r="J69" s="300">
        <f>SUM(J28-J67)</f>
        <v/>
      </c>
      <c r="K69" s="289" t="n"/>
      <c r="L69" s="300">
        <f>SUM(L28-L67)</f>
        <v/>
      </c>
      <c r="M69" s="289" t="n"/>
      <c r="N69" s="300">
        <f>SUM(N28-N67)</f>
        <v/>
      </c>
      <c r="O69" s="289" t="n"/>
      <c r="P69" s="300">
        <f>SUM(P28-P67)</f>
        <v/>
      </c>
      <c r="Q69" s="289" t="n"/>
      <c r="R69" s="300">
        <f>SUM(R28-R67)</f>
        <v/>
      </c>
      <c r="S69" s="289" t="n"/>
      <c r="T69" s="300">
        <f>SUM(T28-T67)</f>
        <v/>
      </c>
      <c r="U69" s="289" t="n"/>
      <c r="V69" s="300">
        <f>SUM(V28-V67)</f>
        <v/>
      </c>
      <c r="W69" s="289" t="n"/>
      <c r="X69" s="300">
        <f>SUM(X28-X67)</f>
        <v/>
      </c>
      <c r="Y69" s="289" t="n"/>
      <c r="Z69" s="300">
        <f>SUM(Z28-Z67)</f>
        <v/>
      </c>
      <c r="AA69" s="289" t="n"/>
      <c r="AB69" s="300">
        <f>SUM(AB28-AB67)</f>
        <v/>
      </c>
      <c r="AC69" s="289" t="n"/>
    </row>
    <row r="70">
      <c r="A70" s="91" t="n"/>
      <c r="B70" s="92" t="n"/>
      <c r="C70" s="93" t="n"/>
      <c r="D70" s="97" t="n"/>
      <c r="E70" s="93" t="n"/>
      <c r="F70" s="97" t="n"/>
      <c r="G70" s="93" t="n"/>
      <c r="H70" s="97" t="n"/>
      <c r="I70" s="93" t="n"/>
      <c r="J70" s="97" t="n"/>
      <c r="K70" s="93" t="n"/>
      <c r="L70" s="97" t="n"/>
      <c r="M70" s="93" t="n"/>
      <c r="N70" s="97" t="n"/>
      <c r="O70" s="93" t="n"/>
      <c r="P70" s="97" t="n"/>
      <c r="Q70" s="93" t="n"/>
      <c r="R70" s="97" t="n"/>
      <c r="S70" s="93" t="n"/>
      <c r="T70" s="97" t="n"/>
      <c r="U70" s="93" t="n"/>
      <c r="V70" s="97" t="n"/>
      <c r="W70" s="93" t="n"/>
      <c r="X70" s="97" t="n"/>
      <c r="Y70" s="93" t="n"/>
      <c r="Z70" s="97" t="n"/>
      <c r="AA70" s="93" t="n"/>
      <c r="AB70" s="97" t="n"/>
      <c r="AC70" s="93" t="n"/>
    </row>
    <row r="71">
      <c r="A71" s="113" t="inlineStr">
        <is>
          <t>Overhead Expenses</t>
        </is>
      </c>
      <c r="B71" s="94" t="n"/>
      <c r="C71" s="96" t="n"/>
      <c r="D71" s="97" t="n">
        <v>0</v>
      </c>
      <c r="E71" s="96" t="n"/>
      <c r="F71" s="97" t="n">
        <v>0</v>
      </c>
      <c r="G71" s="96" t="n"/>
      <c r="H71" s="97" t="n">
        <v>0</v>
      </c>
      <c r="I71" s="96" t="n"/>
      <c r="J71" s="97" t="n">
        <v>0</v>
      </c>
      <c r="K71" s="96" t="n"/>
      <c r="L71" s="97" t="n">
        <v>0</v>
      </c>
      <c r="M71" s="96" t="n"/>
      <c r="N71" s="97" t="n">
        <v>0</v>
      </c>
      <c r="O71" s="96" t="n"/>
      <c r="P71" s="97" t="n">
        <v>0</v>
      </c>
      <c r="Q71" s="96" t="n"/>
      <c r="R71" s="97" t="n">
        <v>0</v>
      </c>
      <c r="S71" s="96" t="n"/>
      <c r="T71" s="97" t="n">
        <v>0</v>
      </c>
      <c r="U71" s="96" t="n"/>
      <c r="V71" s="97" t="n">
        <v>0</v>
      </c>
      <c r="W71" s="96" t="n"/>
      <c r="X71" s="97" t="n">
        <v>0</v>
      </c>
      <c r="Y71" s="96" t="n"/>
      <c r="Z71" s="97" t="n">
        <v>0</v>
      </c>
      <c r="AA71" s="96" t="n"/>
      <c r="AB71" s="97" t="n">
        <v>0</v>
      </c>
      <c r="AC71" s="96" t="n"/>
    </row>
    <row r="72">
      <c r="A72" s="95" t="inlineStr">
        <is>
          <t xml:space="preserve">   Advertising &amp; Marketing</t>
        </is>
      </c>
      <c r="B72" s="166">
        <f>SUM(D72,F72,H72,J72,L72,N72,P72,R72,T72,V72,X72,Z72,AB72)</f>
        <v/>
      </c>
      <c r="C72" s="272">
        <f>SUM(E72,G72,I72,K72,M72,O72,Q72,S72,U72,W72,Y72,AA72,AC72)</f>
        <v/>
      </c>
      <c r="D72" s="97" t="n">
        <v>3000</v>
      </c>
      <c r="E72" s="272" t="n"/>
      <c r="F72" s="97" t="n">
        <v>3000</v>
      </c>
      <c r="G72" s="272" t="n"/>
      <c r="H72" s="97" t="n">
        <v>3000</v>
      </c>
      <c r="I72" s="272" t="n"/>
      <c r="J72" s="97" t="n">
        <v>3000</v>
      </c>
      <c r="K72" s="272" t="n"/>
      <c r="L72" s="97" t="n">
        <v>3000</v>
      </c>
      <c r="M72" s="272" t="n"/>
      <c r="N72" s="97" t="n">
        <v>3000</v>
      </c>
      <c r="O72" s="272" t="n"/>
      <c r="P72" s="97" t="n">
        <v>4000</v>
      </c>
      <c r="Q72" s="272" t="n"/>
      <c r="R72" s="97">
        <f>+P72</f>
        <v/>
      </c>
      <c r="S72" s="272" t="n"/>
      <c r="T72" s="97">
        <f>+R72</f>
        <v/>
      </c>
      <c r="U72" s="272" t="n"/>
      <c r="V72" s="97">
        <f>+T72</f>
        <v/>
      </c>
      <c r="W72" s="272" t="n"/>
      <c r="X72" s="97">
        <f>+V72</f>
        <v/>
      </c>
      <c r="Y72" s="272" t="n"/>
      <c r="Z72" s="97">
        <f>+X72</f>
        <v/>
      </c>
      <c r="AA72" s="272" t="n"/>
      <c r="AB72" s="97">
        <f>+Z72</f>
        <v/>
      </c>
      <c r="AC72" s="272" t="n"/>
    </row>
    <row r="73">
      <c r="A73" s="163" t="inlineStr">
        <is>
          <t xml:space="preserve">   Bank &amp; Credit Card Fees</t>
        </is>
      </c>
      <c r="B73" s="166">
        <f>SUM(D73,F73,H73,J73,L73,N73,P73,R73,T73,V73,X73,Z73,AB73)</f>
        <v/>
      </c>
      <c r="C73" s="272">
        <f>SUM(E73,G73,I73,K73,M73,O73,Q73,S73,U73,W73,Y73,AA73,AC73)</f>
        <v/>
      </c>
      <c r="D73" s="97" t="n">
        <v>20</v>
      </c>
      <c r="E73" s="272" t="n"/>
      <c r="F73" s="97" t="n">
        <v>20</v>
      </c>
      <c r="G73" s="272" t="n"/>
      <c r="H73" s="97" t="n">
        <v>20</v>
      </c>
      <c r="I73" s="272" t="n"/>
      <c r="J73" s="97" t="n">
        <v>20</v>
      </c>
      <c r="K73" s="272" t="n"/>
      <c r="L73" s="97" t="n">
        <v>20</v>
      </c>
      <c r="M73" s="272" t="n"/>
      <c r="N73" s="97" t="n">
        <v>20</v>
      </c>
      <c r="O73" s="272" t="n"/>
      <c r="P73" s="97" t="n">
        <v>20</v>
      </c>
      <c r="Q73" s="272" t="n"/>
      <c r="R73" s="97" t="n">
        <v>20</v>
      </c>
      <c r="S73" s="272" t="n"/>
      <c r="T73" s="97" t="n">
        <v>20</v>
      </c>
      <c r="U73" s="272" t="n"/>
      <c r="V73" s="97" t="n">
        <v>20</v>
      </c>
      <c r="W73" s="272" t="n"/>
      <c r="X73" s="97" t="n">
        <v>20</v>
      </c>
      <c r="Y73" s="272" t="n"/>
      <c r="Z73" s="97" t="n">
        <v>20</v>
      </c>
      <c r="AA73" s="272" t="n"/>
      <c r="AB73" s="186" t="n">
        <v>20</v>
      </c>
      <c r="AC73" s="272" t="n"/>
    </row>
    <row r="74">
      <c r="A74" s="163" t="inlineStr">
        <is>
          <t xml:space="preserve">   Cell Phone Expense</t>
        </is>
      </c>
      <c r="B74" s="166">
        <f>SUM(D74,F74,H74,J74,L74,N74,P74,R74,T74,V74,X74,Z74,AB74)</f>
        <v/>
      </c>
      <c r="C74" s="272">
        <f>SUM(E74,G74,I74,K74,M74,O74,Q74,S74,U74,W74,Y74,AA74,AC74)</f>
        <v/>
      </c>
      <c r="D74" s="97" t="n">
        <v>300</v>
      </c>
      <c r="E74" s="272" t="n"/>
      <c r="F74" s="97" t="n">
        <v>300</v>
      </c>
      <c r="G74" s="272" t="n"/>
      <c r="H74" s="97" t="n">
        <v>300</v>
      </c>
      <c r="I74" s="272" t="n"/>
      <c r="J74" s="97" t="n">
        <v>300</v>
      </c>
      <c r="K74" s="272" t="n"/>
      <c r="L74" s="97" t="n">
        <v>300</v>
      </c>
      <c r="M74" s="272" t="n"/>
      <c r="N74" s="97" t="n">
        <v>615</v>
      </c>
      <c r="O74" s="272" t="n"/>
      <c r="P74" s="97" t="n">
        <v>615</v>
      </c>
      <c r="Q74" s="272" t="n"/>
      <c r="R74" s="97" t="n">
        <v>615</v>
      </c>
      <c r="S74" s="272" t="n"/>
      <c r="T74" s="97" t="n">
        <v>615</v>
      </c>
      <c r="U74" s="272" t="n"/>
      <c r="V74" s="97" t="n">
        <v>615</v>
      </c>
      <c r="W74" s="272" t="n"/>
      <c r="X74" s="97" t="n">
        <v>615</v>
      </c>
      <c r="Y74" s="272" t="n"/>
      <c r="Z74" s="97" t="n">
        <v>615</v>
      </c>
      <c r="AA74" s="272" t="n"/>
      <c r="AB74" s="97" t="n">
        <v>615</v>
      </c>
      <c r="AC74" s="272" t="n"/>
    </row>
    <row r="75">
      <c r="A75" s="163" t="inlineStr">
        <is>
          <t xml:space="preserve">   Donations</t>
        </is>
      </c>
      <c r="B75" s="166">
        <f>SUM(D75,F75,H75,J75,L75,N75,P75,R75,T75,V75,X75,Z75,AB75)</f>
        <v/>
      </c>
      <c r="C75" s="272">
        <f>SUM(E75,G75,I75,K75,M75,O75,Q75,S75,U75,W75,Y75,AA75,AC75)</f>
        <v/>
      </c>
      <c r="D75" s="97" t="n">
        <v>0</v>
      </c>
      <c r="E75" s="272" t="n"/>
      <c r="F75" s="97" t="n">
        <v>0</v>
      </c>
      <c r="G75" s="272" t="n"/>
      <c r="H75" s="97" t="n">
        <v>0</v>
      </c>
      <c r="I75" s="272" t="n"/>
      <c r="J75" s="97" t="n">
        <v>0</v>
      </c>
      <c r="K75" s="272" t="n"/>
      <c r="L75" s="97" t="n">
        <v>0</v>
      </c>
      <c r="M75" s="272" t="n"/>
      <c r="N75" s="97" t="n">
        <v>0</v>
      </c>
      <c r="O75" s="272" t="n"/>
      <c r="P75" s="97" t="n">
        <v>0</v>
      </c>
      <c r="Q75" s="272" t="n"/>
      <c r="R75" s="97" t="n">
        <v>0</v>
      </c>
      <c r="S75" s="272" t="n"/>
      <c r="T75" s="97" t="n">
        <v>0</v>
      </c>
      <c r="U75" s="272" t="n"/>
      <c r="V75" s="97" t="n">
        <v>0</v>
      </c>
      <c r="W75" s="272" t="n"/>
      <c r="X75" s="97" t="n">
        <v>0</v>
      </c>
      <c r="Y75" s="272" t="n"/>
      <c r="Z75" s="97" t="n">
        <v>0</v>
      </c>
      <c r="AA75" s="272" t="n"/>
      <c r="AB75" s="97" t="n">
        <v>0</v>
      </c>
      <c r="AC75" s="272" t="n"/>
    </row>
    <row r="76">
      <c r="A76" s="163" t="inlineStr">
        <is>
          <t xml:space="preserve">   Dues, Fees &amp; Subscriptions</t>
        </is>
      </c>
      <c r="B76" s="166">
        <f>SUM(D76,F76,H76,J76,L76,N76,P76,R76,T76,V76,X76,Z76,AB76)</f>
        <v/>
      </c>
      <c r="C76" s="272">
        <f>SUM(E76,G76,I76,K76,M76,O76,Q76,S76,U76,W76,Y76,AA76,AC76)</f>
        <v/>
      </c>
      <c r="D76" s="97" t="n">
        <v>6000</v>
      </c>
      <c r="E76" s="272" t="n"/>
      <c r="F76" s="97" t="n">
        <v>6000</v>
      </c>
      <c r="G76" s="272" t="n"/>
      <c r="H76" s="97" t="n">
        <v>6000</v>
      </c>
      <c r="I76" s="272" t="n"/>
      <c r="J76" s="97" t="n">
        <v>6000</v>
      </c>
      <c r="K76" s="272" t="n"/>
      <c r="L76" s="97" t="n">
        <v>6000</v>
      </c>
      <c r="M76" s="272" t="n"/>
      <c r="N76" s="97" t="n">
        <v>6000</v>
      </c>
      <c r="O76" s="272" t="n"/>
      <c r="P76" s="97" t="n">
        <v>6000</v>
      </c>
      <c r="Q76" s="272" t="n"/>
      <c r="R76" s="97" t="n">
        <v>6000</v>
      </c>
      <c r="S76" s="272" t="n"/>
      <c r="T76" s="97" t="n">
        <v>6000</v>
      </c>
      <c r="U76" s="272" t="n"/>
      <c r="V76" s="97" t="n">
        <v>6000</v>
      </c>
      <c r="W76" s="272" t="n"/>
      <c r="X76" s="97" t="n">
        <v>6000</v>
      </c>
      <c r="Y76" s="272" t="n"/>
      <c r="Z76" s="97" t="n">
        <v>6000</v>
      </c>
      <c r="AA76" s="272" t="n"/>
      <c r="AB76" s="97" t="n">
        <v>6000</v>
      </c>
      <c r="AC76" s="272" t="n"/>
    </row>
    <row r="77">
      <c r="A77" s="163" t="inlineStr">
        <is>
          <t xml:space="preserve">   Employee Benefits</t>
        </is>
      </c>
      <c r="B77" s="166">
        <f>SUM(D77,F77,H77,J77,L77,N77,P77,R77,T77,V77,X77,Z77,AB77)</f>
        <v/>
      </c>
      <c r="C77" s="272">
        <f>SUM(E77,G77,I77,K77,M77,O77,Q77,S77,U77,W77,Y77,AA77,AC77)</f>
        <v/>
      </c>
      <c r="D77" s="97" t="n">
        <v>0</v>
      </c>
      <c r="E77" s="272" t="n"/>
      <c r="F77" s="97" t="n">
        <v>0</v>
      </c>
      <c r="G77" s="272" t="n"/>
      <c r="H77" s="97" t="n">
        <v>0</v>
      </c>
      <c r="I77" s="272" t="n"/>
      <c r="J77" s="97" t="n">
        <v>0</v>
      </c>
      <c r="K77" s="272" t="n"/>
      <c r="L77" s="97" t="n">
        <v>0</v>
      </c>
      <c r="M77" s="272" t="n"/>
      <c r="N77" s="97" t="n">
        <v>0</v>
      </c>
      <c r="O77" s="272" t="n"/>
      <c r="P77" s="97" t="n">
        <v>0</v>
      </c>
      <c r="Q77" s="272" t="n"/>
      <c r="R77" s="97" t="n">
        <v>0</v>
      </c>
      <c r="S77" s="272" t="n"/>
      <c r="T77" s="97" t="n">
        <v>0</v>
      </c>
      <c r="U77" s="272" t="n"/>
      <c r="V77" s="97" t="n">
        <v>0</v>
      </c>
      <c r="W77" s="272" t="n"/>
      <c r="X77" s="97" t="n">
        <v>0</v>
      </c>
      <c r="Y77" s="272" t="n"/>
      <c r="Z77" s="97" t="n">
        <v>0</v>
      </c>
      <c r="AA77" s="272" t="n"/>
      <c r="AB77" s="97" t="n">
        <v>0</v>
      </c>
      <c r="AC77" s="272" t="n"/>
    </row>
    <row r="78">
      <c r="A78" s="163" t="inlineStr">
        <is>
          <t xml:space="preserve">   Insurance - Business</t>
        </is>
      </c>
      <c r="B78" s="166">
        <f>SUM(D78,F78,H78,J78,L78,N78,P78,R78,T78,V78,X78,Z78,AB78)</f>
        <v/>
      </c>
      <c r="C78" s="272">
        <f>SUM(E78,G78,I78,K78,M78,O78,Q78,S78,U78,W78,Y78,AA78,AC78)</f>
        <v/>
      </c>
      <c r="D78" s="97" t="n">
        <v>0</v>
      </c>
      <c r="E78" s="272" t="n"/>
      <c r="F78" s="97" t="n">
        <v>0</v>
      </c>
      <c r="G78" s="272" t="n"/>
      <c r="H78" s="97" t="n">
        <v>0</v>
      </c>
      <c r="I78" s="272" t="n"/>
      <c r="J78" s="97" t="n">
        <v>0</v>
      </c>
      <c r="K78" s="272" t="n"/>
      <c r="L78" s="97" t="n">
        <v>2200</v>
      </c>
      <c r="M78" s="272" t="n"/>
      <c r="N78" s="97" t="n">
        <v>2200</v>
      </c>
      <c r="O78" s="272" t="n"/>
      <c r="P78" s="97" t="n">
        <v>2200</v>
      </c>
      <c r="Q78" s="272" t="n"/>
      <c r="R78" s="97" t="n">
        <v>2200</v>
      </c>
      <c r="S78" s="272" t="n"/>
      <c r="T78" s="97" t="n">
        <v>2200</v>
      </c>
      <c r="U78" s="272" t="n"/>
      <c r="V78" s="97" t="n">
        <v>2200</v>
      </c>
      <c r="W78" s="272" t="n"/>
      <c r="X78" s="97" t="n">
        <v>0</v>
      </c>
      <c r="Y78" s="272" t="n"/>
      <c r="Z78" s="97" t="n">
        <v>0</v>
      </c>
      <c r="AA78" s="272" t="n"/>
      <c r="AB78" s="97" t="n">
        <v>0</v>
      </c>
      <c r="AC78" s="272" t="n"/>
    </row>
    <row r="79">
      <c r="A79" s="163" t="inlineStr">
        <is>
          <t xml:space="preserve">   Insurance - Employee Health</t>
        </is>
      </c>
      <c r="B79" s="166">
        <f>SUM(D79,F79,H79,J79,L79,N79,P79,R79,T79,V79,X79,Z79,AB79)</f>
        <v/>
      </c>
      <c r="C79" s="272">
        <f>SUM(E79,G79,I79,K79,M79,O79,Q79,S79,U79,W79,Y79,AA79,AC79)</f>
        <v/>
      </c>
      <c r="D79" s="97" t="n">
        <v>600</v>
      </c>
      <c r="E79" s="272" t="n"/>
      <c r="F79" s="97" t="n">
        <v>600</v>
      </c>
      <c r="G79" s="272" t="n"/>
      <c r="H79" s="97" t="n">
        <v>600</v>
      </c>
      <c r="I79" s="272" t="n"/>
      <c r="J79" s="97" t="n">
        <v>600</v>
      </c>
      <c r="K79" s="272" t="n"/>
      <c r="L79" s="97" t="n">
        <v>600</v>
      </c>
      <c r="M79" s="272" t="n"/>
      <c r="N79" s="97" t="n">
        <v>600</v>
      </c>
      <c r="O79" s="272" t="n"/>
      <c r="P79" s="97" t="n">
        <v>600</v>
      </c>
      <c r="Q79" s="272" t="n"/>
      <c r="R79" s="97" t="n">
        <v>600</v>
      </c>
      <c r="S79" s="272" t="n"/>
      <c r="T79" s="97" t="n">
        <v>600</v>
      </c>
      <c r="U79" s="272" t="n"/>
      <c r="V79" s="97" t="n">
        <v>600</v>
      </c>
      <c r="W79" s="272" t="n"/>
      <c r="X79" s="97" t="n">
        <v>600</v>
      </c>
      <c r="Y79" s="272" t="n"/>
      <c r="Z79" s="97" t="n">
        <v>600</v>
      </c>
      <c r="AA79" s="272" t="n"/>
      <c r="AB79" s="97" t="n">
        <v>600</v>
      </c>
      <c r="AC79" s="272" t="n"/>
    </row>
    <row r="80">
      <c r="A80" s="163" t="inlineStr">
        <is>
          <t xml:space="preserve">   Interest Paid</t>
        </is>
      </c>
      <c r="B80" s="166">
        <f>SUM(D80,F80,H80,J80,L80,N80,P80,R80,T80,V80,X80,Z80,AB80)</f>
        <v/>
      </c>
      <c r="C80" s="272">
        <f>SUM(E80,G80,I80,K80,M80,O80,Q80,S80,U80,W80,Y80,AA80,AC80)</f>
        <v/>
      </c>
      <c r="D80" s="97" t="n">
        <v>0</v>
      </c>
      <c r="E80" s="272" t="n"/>
      <c r="F80" s="97" t="n">
        <v>0</v>
      </c>
      <c r="G80" s="272" t="n"/>
      <c r="H80" s="97" t="n">
        <v>0</v>
      </c>
      <c r="I80" s="272" t="n"/>
      <c r="J80" s="97" t="n">
        <v>0</v>
      </c>
      <c r="K80" s="272" t="n"/>
      <c r="L80" s="97" t="n">
        <v>0</v>
      </c>
      <c r="M80" s="272" t="n"/>
      <c r="N80" s="97" t="n">
        <v>0</v>
      </c>
      <c r="O80" s="272" t="n"/>
      <c r="P80" s="97" t="n">
        <v>0</v>
      </c>
      <c r="Q80" s="272" t="n"/>
      <c r="R80" s="97" t="n">
        <v>0</v>
      </c>
      <c r="S80" s="272" t="n"/>
      <c r="T80" s="97" t="n">
        <v>0</v>
      </c>
      <c r="U80" s="272" t="n"/>
      <c r="V80" s="97" t="n">
        <v>0</v>
      </c>
      <c r="W80" s="272" t="n"/>
      <c r="X80" s="97" t="n">
        <v>0</v>
      </c>
      <c r="Y80" s="272" t="n"/>
      <c r="Z80" s="97" t="n">
        <v>0</v>
      </c>
      <c r="AA80" s="272" t="n"/>
      <c r="AB80" s="97" t="n">
        <v>0</v>
      </c>
      <c r="AC80" s="272" t="n"/>
    </row>
    <row r="81">
      <c r="A81" s="163" t="inlineStr">
        <is>
          <t xml:space="preserve">   Legal &amp; Professional Services</t>
        </is>
      </c>
      <c r="B81" s="166">
        <f>SUM(D81,F81,H81,J81,L81,N81,P81,R81,T81,V81,X81,Z81,AB81)</f>
        <v/>
      </c>
      <c r="C81" s="272">
        <f>SUM(E81,G81,I81,K81,M81,O81,Q81,S81,U81,W81,Y81,AA81,AC81)</f>
        <v/>
      </c>
      <c r="D81" s="97" t="n">
        <v>0</v>
      </c>
      <c r="E81" s="272" t="n"/>
      <c r="F81" s="97" t="n">
        <v>0</v>
      </c>
      <c r="G81" s="272" t="n"/>
      <c r="H81" s="97" t="n"/>
      <c r="I81" s="272" t="n"/>
      <c r="J81" s="97" t="n"/>
      <c r="K81" s="272" t="n"/>
      <c r="L81" s="97" t="n"/>
      <c r="M81" s="272" t="n"/>
      <c r="N81" s="97" t="n"/>
      <c r="O81" s="272" t="n"/>
      <c r="P81" s="97" t="n"/>
      <c r="Q81" s="272" t="n"/>
      <c r="R81" s="97" t="n"/>
      <c r="S81" s="272" t="n"/>
      <c r="T81" s="97" t="n"/>
      <c r="U81" s="272" t="n"/>
      <c r="V81" s="97" t="n"/>
      <c r="W81" s="272" t="n"/>
      <c r="X81" s="97" t="n"/>
      <c r="Y81" s="272" t="n"/>
      <c r="Z81" s="97" t="n"/>
      <c r="AA81" s="272" t="n"/>
      <c r="AB81" s="97" t="n">
        <v>5000</v>
      </c>
      <c r="AC81" s="272" t="n"/>
    </row>
    <row r="82">
      <c r="A82" s="163" t="inlineStr">
        <is>
          <t xml:space="preserve">   Meals &amp; Entertainment</t>
        </is>
      </c>
      <c r="B82" s="166">
        <f>SUM(D82,F82,H82,J82,L82,N82,P82,R82,T82,V82,X82,Z82,AB82)</f>
        <v/>
      </c>
      <c r="C82" s="272">
        <f>SUM(E82,G82,I82,K82,M82,O82,Q82,S82,U82,W82,Y82,AA82,AC82)</f>
        <v/>
      </c>
      <c r="D82" s="97" t="n">
        <v>200</v>
      </c>
      <c r="E82" s="272" t="n"/>
      <c r="F82" s="97" t="n">
        <v>200</v>
      </c>
      <c r="G82" s="272" t="n"/>
      <c r="H82" s="97" t="n">
        <v>200</v>
      </c>
      <c r="I82" s="272" t="n"/>
      <c r="J82" s="97" t="n">
        <v>200</v>
      </c>
      <c r="K82" s="272" t="n"/>
      <c r="L82" s="97" t="n">
        <v>200</v>
      </c>
      <c r="M82" s="272" t="n"/>
      <c r="N82" s="97" t="n">
        <v>200</v>
      </c>
      <c r="O82" s="272" t="n"/>
      <c r="P82" s="97" t="n">
        <v>200</v>
      </c>
      <c r="Q82" s="272" t="n"/>
      <c r="R82" s="97" t="n">
        <v>200</v>
      </c>
      <c r="S82" s="272" t="n"/>
      <c r="T82" s="97" t="n">
        <v>200</v>
      </c>
      <c r="U82" s="272" t="n"/>
      <c r="V82" s="97" t="n">
        <v>200</v>
      </c>
      <c r="W82" s="272" t="n"/>
      <c r="X82" s="97" t="n">
        <v>200</v>
      </c>
      <c r="Y82" s="272" t="n"/>
      <c r="Z82" s="97" t="n">
        <v>200</v>
      </c>
      <c r="AA82" s="272" t="n"/>
      <c r="AB82" s="97" t="n">
        <v>200</v>
      </c>
      <c r="AC82" s="272" t="n"/>
    </row>
    <row r="83">
      <c r="A83" s="163" t="inlineStr">
        <is>
          <t xml:space="preserve">   Office Materials &amp; Supplies</t>
        </is>
      </c>
      <c r="B83" s="166">
        <f>SUM(D83,F83,H83,J83,L83,N83,P83,R83,T83,V83,X83,Z83,AB83)</f>
        <v/>
      </c>
      <c r="C83" s="272">
        <f>SUM(E83,G83,I83,K83,M83,O83,Q83,S83,U83,W83,Y83,AA83,AC83)</f>
        <v/>
      </c>
      <c r="D83" s="97" t="n">
        <v>600</v>
      </c>
      <c r="E83" s="272" t="n"/>
      <c r="F83" s="97" t="n">
        <v>600</v>
      </c>
      <c r="G83" s="272" t="n"/>
      <c r="H83" s="97" t="n">
        <v>600</v>
      </c>
      <c r="I83" s="272" t="n"/>
      <c r="J83" s="97" t="n">
        <v>600</v>
      </c>
      <c r="K83" s="272" t="n"/>
      <c r="L83" s="97" t="n">
        <v>600</v>
      </c>
      <c r="M83" s="272" t="n"/>
      <c r="N83" s="97" t="n">
        <v>600</v>
      </c>
      <c r="O83" s="272" t="n"/>
      <c r="P83" s="97" t="n">
        <v>600</v>
      </c>
      <c r="Q83" s="272" t="n"/>
      <c r="R83" s="97" t="n">
        <v>600</v>
      </c>
      <c r="S83" s="272" t="n"/>
      <c r="T83" s="97" t="n">
        <v>600</v>
      </c>
      <c r="U83" s="272" t="n"/>
      <c r="V83" s="97" t="n">
        <v>600</v>
      </c>
      <c r="W83" s="272" t="n"/>
      <c r="X83" s="97" t="n">
        <v>600</v>
      </c>
      <c r="Y83" s="272" t="n"/>
      <c r="Z83" s="97" t="n">
        <v>600</v>
      </c>
      <c r="AA83" s="272" t="n"/>
      <c r="AB83" s="97" t="n">
        <v>600</v>
      </c>
      <c r="AC83" s="272" t="n"/>
    </row>
    <row r="84">
      <c r="A84" s="163" t="inlineStr">
        <is>
          <t xml:space="preserve">   Postage &amp; Shipping</t>
        </is>
      </c>
      <c r="B84" s="166">
        <f>SUM(D84,F84,H84,J84,L84,N84,P84,R84,T84,V84,X84,Z84,AB84)</f>
        <v/>
      </c>
      <c r="C84" s="272">
        <f>SUM(E84,G84,I84,K84,M84,O84,Q84,S84,U84,W84,Y84,AA84,AC84)</f>
        <v/>
      </c>
      <c r="D84" s="97" t="n">
        <v>200</v>
      </c>
      <c r="E84" s="272" t="n"/>
      <c r="F84" s="97" t="n">
        <v>200</v>
      </c>
      <c r="G84" s="272" t="n"/>
      <c r="H84" s="97" t="n">
        <v>200</v>
      </c>
      <c r="I84" s="272" t="n"/>
      <c r="J84" s="97" t="n">
        <v>200</v>
      </c>
      <c r="K84" s="272" t="n"/>
      <c r="L84" s="97" t="n">
        <v>200</v>
      </c>
      <c r="M84" s="272" t="n"/>
      <c r="N84" s="97" t="n">
        <v>200</v>
      </c>
      <c r="O84" s="272" t="n"/>
      <c r="P84" s="97" t="n">
        <v>200</v>
      </c>
      <c r="Q84" s="272" t="n"/>
      <c r="R84" s="97" t="n">
        <v>200</v>
      </c>
      <c r="S84" s="272" t="n"/>
      <c r="T84" s="97" t="n">
        <v>200</v>
      </c>
      <c r="U84" s="272" t="n"/>
      <c r="V84" s="97" t="n">
        <v>200</v>
      </c>
      <c r="W84" s="272" t="n"/>
      <c r="X84" s="97" t="n">
        <v>200</v>
      </c>
      <c r="Y84" s="272" t="n"/>
      <c r="Z84" s="97" t="n">
        <v>200</v>
      </c>
      <c r="AA84" s="272" t="n"/>
      <c r="AB84" s="97" t="n">
        <v>200</v>
      </c>
      <c r="AC84" s="272" t="n"/>
    </row>
    <row r="85">
      <c r="A85" s="163" t="inlineStr">
        <is>
          <t xml:space="preserve">   Recruiting</t>
        </is>
      </c>
      <c r="B85" s="166" t="n"/>
      <c r="C85" s="272" t="n"/>
      <c r="D85" s="97" t="n"/>
      <c r="E85" s="272" t="n"/>
      <c r="F85" s="97" t="n"/>
      <c r="G85" s="272" t="n"/>
      <c r="H85" s="97" t="n"/>
      <c r="I85" s="272" t="n"/>
      <c r="J85" s="97" t="n"/>
      <c r="K85" s="272" t="n"/>
      <c r="L85" s="97" t="n"/>
      <c r="M85" s="272" t="n"/>
      <c r="N85" s="97" t="n"/>
      <c r="O85" s="272" t="n"/>
      <c r="P85" s="97" t="n"/>
      <c r="Q85" s="272" t="n"/>
      <c r="R85" s="97" t="n"/>
      <c r="S85" s="272" t="n"/>
      <c r="T85" s="97" t="n"/>
      <c r="U85" s="272" t="n"/>
      <c r="V85" s="97" t="n"/>
      <c r="W85" s="272" t="n"/>
      <c r="X85" s="97" t="n"/>
      <c r="Y85" s="272" t="n"/>
      <c r="Z85" s="97" t="n"/>
      <c r="AA85" s="272" t="n"/>
      <c r="AB85" s="97" t="n"/>
      <c r="AC85" s="272" t="n"/>
    </row>
    <row r="86">
      <c r="A86" s="163" t="inlineStr">
        <is>
          <t xml:space="preserve">   Related Party Labor - Finance</t>
        </is>
      </c>
      <c r="B86" s="166">
        <f>SUM(D86,F86,H86,J86,L86,N86,P86,R86,T86,V86,X86,Z86,AB86)</f>
        <v/>
      </c>
      <c r="C86" s="272">
        <f>SUM(E86,G86,I86,K86,M86,O86,Q86,S86,U86,W86,Y86,AA86,AC86)</f>
        <v/>
      </c>
      <c r="D86" s="97" t="n">
        <v>4500</v>
      </c>
      <c r="E86" s="272" t="n"/>
      <c r="F86" s="97" t="n">
        <v>4500</v>
      </c>
      <c r="G86" s="272" t="n"/>
      <c r="H86" s="97" t="n">
        <v>4500</v>
      </c>
      <c r="I86" s="272" t="n"/>
      <c r="J86" s="97" t="n">
        <v>4500</v>
      </c>
      <c r="K86" s="272" t="n"/>
      <c r="L86" s="97" t="n">
        <v>4500</v>
      </c>
      <c r="M86" s="272" t="n"/>
      <c r="N86" s="97" t="n">
        <v>4500</v>
      </c>
      <c r="O86" s="272" t="n"/>
      <c r="P86" s="97" t="n">
        <v>4500</v>
      </c>
      <c r="Q86" s="272" t="n"/>
      <c r="R86" s="97" t="n">
        <v>4500</v>
      </c>
      <c r="S86" s="272" t="n"/>
      <c r="T86" s="97" t="n">
        <v>4500</v>
      </c>
      <c r="U86" s="272" t="n"/>
      <c r="V86" s="97" t="n">
        <v>4500</v>
      </c>
      <c r="W86" s="272" t="n"/>
      <c r="X86" s="97" t="n">
        <v>4500</v>
      </c>
      <c r="Y86" s="272" t="n"/>
      <c r="Z86" s="97" t="n">
        <v>4500</v>
      </c>
      <c r="AA86" s="272" t="n"/>
      <c r="AB86" s="97" t="n">
        <v>4500</v>
      </c>
      <c r="AC86" s="272" t="n"/>
    </row>
    <row r="87">
      <c r="A87" s="163" t="inlineStr">
        <is>
          <t xml:space="preserve">   Related Party Labor - IT</t>
        </is>
      </c>
      <c r="B87" s="166">
        <f>SUM(D87,F87,H87,J87,L87,N87,P87,R87,T87,V87,X87,Z87,AB87)</f>
        <v/>
      </c>
      <c r="C87" s="272">
        <f>SUM(E87,G87,I87,K87,M87,O87,Q87,S87,U87,W87,Y87,AA87,AC87)</f>
        <v/>
      </c>
      <c r="D87" s="97" t="n">
        <v>1400</v>
      </c>
      <c r="E87" s="272" t="n"/>
      <c r="F87" s="97" t="n">
        <v>1400</v>
      </c>
      <c r="G87" s="272" t="n"/>
      <c r="H87" s="97" t="n">
        <v>1400</v>
      </c>
      <c r="I87" s="272" t="n"/>
      <c r="J87" s="97" t="n">
        <v>1400</v>
      </c>
      <c r="K87" s="272" t="n"/>
      <c r="L87" s="97" t="n">
        <v>1400</v>
      </c>
      <c r="M87" s="272" t="n"/>
      <c r="N87" s="97" t="n">
        <v>1400</v>
      </c>
      <c r="O87" s="272" t="n"/>
      <c r="P87" s="97" t="n">
        <v>1400</v>
      </c>
      <c r="Q87" s="272" t="n"/>
      <c r="R87" s="97" t="n">
        <v>1400</v>
      </c>
      <c r="S87" s="272" t="n"/>
      <c r="T87" s="97" t="n">
        <v>1400</v>
      </c>
      <c r="U87" s="272" t="n"/>
      <c r="V87" s="97" t="n">
        <v>1400</v>
      </c>
      <c r="W87" s="272" t="n"/>
      <c r="X87" s="97" t="n">
        <v>1400</v>
      </c>
      <c r="Y87" s="272" t="n"/>
      <c r="Z87" s="97" t="n">
        <v>1400</v>
      </c>
      <c r="AA87" s="272" t="n"/>
      <c r="AB87" s="97" t="n">
        <v>1400</v>
      </c>
      <c r="AC87" s="272" t="n"/>
    </row>
    <row r="88">
      <c r="A88" s="187" t="inlineStr">
        <is>
          <t xml:space="preserve">   Related Party Labor - Marketing</t>
        </is>
      </c>
      <c r="B88" s="166">
        <f>SUM(D88,F88,H88,J88,L88,N88,P88,R88,T88,V88,X88,Z88,AB88)</f>
        <v/>
      </c>
      <c r="C88" s="272">
        <f>SUM(E88,G88,I88,K88,M88,O88,Q88,S88,U88,W88,Y88,AA88,AC88)</f>
        <v/>
      </c>
      <c r="D88" s="97" t="n">
        <v>300</v>
      </c>
      <c r="E88" s="301" t="n"/>
      <c r="F88" s="97" t="n">
        <v>500</v>
      </c>
      <c r="G88" s="272" t="n"/>
      <c r="H88" s="97" t="n">
        <v>500</v>
      </c>
      <c r="I88" s="272" t="n"/>
      <c r="J88" s="97" t="n">
        <v>500</v>
      </c>
      <c r="K88" s="272" t="n"/>
      <c r="L88" s="97" t="n">
        <v>500</v>
      </c>
      <c r="M88" s="272" t="n"/>
      <c r="N88" s="97" t="n">
        <v>500</v>
      </c>
      <c r="O88" s="272" t="n"/>
      <c r="P88" s="97" t="n">
        <v>500</v>
      </c>
      <c r="Q88" s="272" t="n"/>
      <c r="R88" s="97" t="n">
        <v>500</v>
      </c>
      <c r="S88" s="272" t="n"/>
      <c r="T88" s="97" t="n">
        <v>500</v>
      </c>
      <c r="U88" s="272" t="n"/>
      <c r="V88" s="97" t="n">
        <v>500</v>
      </c>
      <c r="W88" s="272" t="n"/>
      <c r="X88" s="97" t="n">
        <v>500</v>
      </c>
      <c r="Y88" s="272" t="n"/>
      <c r="Z88" s="97" t="n">
        <v>500</v>
      </c>
      <c r="AA88" s="272" t="n"/>
      <c r="AB88" s="97" t="n">
        <v>500</v>
      </c>
      <c r="AC88" s="272" t="n"/>
    </row>
    <row r="89">
      <c r="A89" s="163" t="inlineStr">
        <is>
          <t xml:space="preserve">   Related Party Labor - P&amp;P</t>
        </is>
      </c>
      <c r="B89" s="166">
        <f>SUM(D89,F89,H89,J89,L89,N89,P89,R89,T89,V89,X89,Z89,AB89)</f>
        <v/>
      </c>
      <c r="C89" s="272">
        <f>SUM(E89,G89,I89,K89,M89,O89,Q89,S89,U89,W89,Y89,AA89,AC89)</f>
        <v/>
      </c>
      <c r="D89" s="97" t="n">
        <v>300</v>
      </c>
      <c r="E89" s="272" t="n"/>
      <c r="F89" s="97" t="n">
        <v>300</v>
      </c>
      <c r="G89" s="272" t="n"/>
      <c r="H89" s="97" t="n">
        <v>300</v>
      </c>
      <c r="I89" s="272" t="n"/>
      <c r="J89" s="97" t="n">
        <v>300</v>
      </c>
      <c r="K89" s="272" t="n"/>
      <c r="L89" s="97" t="n">
        <v>300</v>
      </c>
      <c r="M89" s="272" t="n"/>
      <c r="N89" s="97" t="n">
        <v>300</v>
      </c>
      <c r="O89" s="272" t="n"/>
      <c r="P89" s="97" t="n">
        <v>300</v>
      </c>
      <c r="Q89" s="272" t="n"/>
      <c r="R89" s="97" t="n">
        <v>300</v>
      </c>
      <c r="S89" s="272" t="n"/>
      <c r="T89" s="97" t="n">
        <v>300</v>
      </c>
      <c r="U89" s="272" t="n"/>
      <c r="V89" s="97" t="n">
        <v>300</v>
      </c>
      <c r="W89" s="272" t="n"/>
      <c r="X89" s="97" t="n">
        <v>300</v>
      </c>
      <c r="Y89" s="272" t="n"/>
      <c r="Z89" s="97" t="n">
        <v>300</v>
      </c>
      <c r="AA89" s="272" t="n"/>
      <c r="AB89" s="97" t="n">
        <v>300</v>
      </c>
      <c r="AC89" s="272" t="n"/>
    </row>
    <row r="90">
      <c r="A90" s="91" t="inlineStr">
        <is>
          <t xml:space="preserve">   Rent &amp; Lease</t>
        </is>
      </c>
      <c r="B90" s="166" t="n"/>
      <c r="C90" s="272" t="n"/>
      <c r="D90" s="97" t="n"/>
      <c r="E90" s="272" t="n"/>
      <c r="F90" s="97" t="n"/>
      <c r="G90" s="272" t="n"/>
      <c r="H90" s="97" t="n"/>
      <c r="I90" s="272" t="n"/>
      <c r="J90" s="97" t="n"/>
      <c r="K90" s="272" t="n"/>
      <c r="L90" s="97" t="n"/>
      <c r="M90" s="272" t="n"/>
      <c r="N90" s="97" t="n"/>
      <c r="O90" s="272" t="n"/>
      <c r="P90" s="97" t="n"/>
      <c r="Q90" s="272" t="n"/>
      <c r="R90" s="97" t="n"/>
      <c r="S90" s="272" t="n"/>
      <c r="T90" s="97" t="n"/>
      <c r="U90" s="272" t="n"/>
      <c r="V90" s="97" t="n"/>
      <c r="W90" s="272" t="n"/>
      <c r="X90" s="97" t="n"/>
      <c r="Y90" s="272" t="n"/>
      <c r="Z90" s="97" t="n"/>
      <c r="AA90" s="272" t="n"/>
      <c r="AB90" s="97" t="n"/>
      <c r="AC90" s="272" t="n"/>
    </row>
    <row r="91">
      <c r="A91" s="114" t="inlineStr">
        <is>
          <t>Rent - Fremont Provisions and SOCC buildings</t>
        </is>
      </c>
      <c r="B91" s="166">
        <f>SUM(D91,F91,H91,J91,L91,N91,P91,R91,T91,V91,X91,Z91,AB91)</f>
        <v/>
      </c>
      <c r="C91" s="272">
        <f>SUM(E91,G91,I91,K91,M91,O91,Q91,S91,U91,W91,Y91,AA91,AC91)</f>
        <v/>
      </c>
      <c r="D91" s="97" t="n">
        <v>9415.379999999999</v>
      </c>
      <c r="E91" s="272" t="n"/>
      <c r="F91" s="97" t="n">
        <v>9415.379999999999</v>
      </c>
      <c r="G91" s="272" t="n"/>
      <c r="H91" s="97" t="n">
        <v>9415.379999999999</v>
      </c>
      <c r="I91" s="272" t="n"/>
      <c r="J91" s="97" t="n">
        <v>9415.379999999999</v>
      </c>
      <c r="K91" s="272" t="n"/>
      <c r="L91" s="97" t="n">
        <v>9415.379999999999</v>
      </c>
      <c r="M91" s="272" t="n"/>
      <c r="N91" s="97" t="n">
        <v>9415.379999999999</v>
      </c>
      <c r="O91" s="272" t="n"/>
      <c r="P91" s="97" t="n">
        <v>9415.379999999999</v>
      </c>
      <c r="Q91" s="272" t="n"/>
      <c r="R91" s="97" t="n">
        <v>9415.379999999999</v>
      </c>
      <c r="S91" s="272" t="n"/>
      <c r="T91" s="97" t="n">
        <v>9415.379999999999</v>
      </c>
      <c r="U91" s="272" t="n"/>
      <c r="V91" s="97" t="n">
        <v>9415.379999999999</v>
      </c>
      <c r="W91" s="272" t="n"/>
      <c r="X91" s="97" t="n">
        <v>9415.379999999999</v>
      </c>
      <c r="Y91" s="272" t="n"/>
      <c r="Z91" s="97" t="n">
        <v>9415.379999999999</v>
      </c>
      <c r="AA91" s="272" t="n"/>
      <c r="AB91" s="97" t="n">
        <v>9415.379999999999</v>
      </c>
      <c r="AC91" s="272" t="n"/>
    </row>
    <row r="92">
      <c r="A92" s="163" t="inlineStr">
        <is>
          <t xml:space="preserve">      Furniture &amp; Fixtures Lease</t>
        </is>
      </c>
      <c r="B92" s="166">
        <f>SUM(D92,F92,H92,J92,L92,N92,P92,R92,T92,V92,X92,Z92,AB92)</f>
        <v/>
      </c>
      <c r="C92" s="272">
        <f>SUM(E92,G92,I92,K92,M92,O92,Q92,S92,U92,W92,Y92,AA92,AC92)</f>
        <v/>
      </c>
      <c r="D92" s="97" t="n">
        <v>14337.85</v>
      </c>
      <c r="E92" s="272" t="n"/>
      <c r="F92" s="97" t="n">
        <v>14337.85</v>
      </c>
      <c r="G92" s="272" t="n"/>
      <c r="H92" s="97" t="n">
        <v>14337.85</v>
      </c>
      <c r="I92" s="272" t="n"/>
      <c r="J92" s="97" t="n">
        <v>14337.85</v>
      </c>
      <c r="K92" s="272" t="n"/>
      <c r="L92" s="97" t="n">
        <v>14337.85</v>
      </c>
      <c r="M92" s="272" t="n"/>
      <c r="N92" s="97" t="n">
        <v>14337.85</v>
      </c>
      <c r="O92" s="272" t="n"/>
      <c r="P92" s="97" t="n">
        <v>14337.85</v>
      </c>
      <c r="Q92" s="272" t="n"/>
      <c r="R92" s="97" t="n">
        <v>14337.85</v>
      </c>
      <c r="S92" s="272" t="n"/>
      <c r="T92" s="97" t="n">
        <v>14337.85</v>
      </c>
      <c r="U92" s="272" t="n"/>
      <c r="V92" s="97" t="n">
        <v>14337.85</v>
      </c>
      <c r="W92" s="272" t="n"/>
      <c r="X92" s="97" t="n">
        <v>14337.85</v>
      </c>
      <c r="Y92" s="272" t="n"/>
      <c r="Z92" s="97" t="n">
        <v>14337.85</v>
      </c>
      <c r="AA92" s="272" t="n"/>
      <c r="AB92" s="97" t="n">
        <v>14337.85</v>
      </c>
      <c r="AC92" s="272" t="n"/>
    </row>
    <row r="93">
      <c r="A93" s="163" t="inlineStr">
        <is>
          <t xml:space="preserve">      HSC Lease Expense</t>
        </is>
      </c>
      <c r="B93" s="166">
        <f>SUM(D93,F93,H93,J93,L93,N93,P93,R93,T93,V93,X93,Z93,AB93)</f>
        <v/>
      </c>
      <c r="C93" s="272">
        <f>SUM(E93,G93,I93,K93,M93,O93,Q93,S93,U93,W93,Y93,AA93,AC93)</f>
        <v/>
      </c>
      <c r="D93" s="97" t="n">
        <v>24576.31</v>
      </c>
      <c r="E93" s="272" t="n"/>
      <c r="F93" s="97" t="n">
        <v>24576.31</v>
      </c>
      <c r="G93" s="272" t="n"/>
      <c r="H93" s="97" t="n">
        <v>24576.31</v>
      </c>
      <c r="I93" s="272" t="n"/>
      <c r="J93" s="97" t="n">
        <v>24576.31</v>
      </c>
      <c r="K93" s="272" t="n"/>
      <c r="L93" s="97" t="n">
        <v>24576.31</v>
      </c>
      <c r="M93" s="272" t="n"/>
      <c r="N93" s="97" t="n">
        <v>24576.31</v>
      </c>
      <c r="O93" s="272" t="n"/>
      <c r="P93" s="97" t="n">
        <v>24576.31</v>
      </c>
      <c r="Q93" s="272" t="n"/>
      <c r="R93" s="97" t="n">
        <v>24576.31</v>
      </c>
      <c r="S93" s="272" t="n"/>
      <c r="T93" s="97" t="n">
        <v>24576.31</v>
      </c>
      <c r="U93" s="272" t="n"/>
      <c r="V93" s="97" t="n">
        <v>24576.31</v>
      </c>
      <c r="W93" s="272" t="n"/>
      <c r="X93" s="97" t="n">
        <v>24576.31</v>
      </c>
      <c r="Y93" s="272" t="n"/>
      <c r="Z93" s="97" t="n">
        <v>24576.31</v>
      </c>
      <c r="AA93" s="272" t="n"/>
      <c r="AB93" s="97" t="n">
        <v>24576.31</v>
      </c>
      <c r="AC93" s="272" t="n"/>
    </row>
    <row r="94">
      <c r="A94" s="163" t="inlineStr">
        <is>
          <t xml:space="preserve">      Operating Expenses (Utilities)</t>
        </is>
      </c>
      <c r="B94" s="166">
        <f>SUM(D94,F94,H94,J94,L94,N94,P94,R94,T94,V94,X94,Z94,AB94)</f>
        <v/>
      </c>
      <c r="C94" s="272">
        <f>SUM(E94,G94,I94,K94,M94,O94,Q94,S94,U94,W94,Y94,AA94,AC94)</f>
        <v/>
      </c>
      <c r="D94" s="97" t="n">
        <v>13846.15</v>
      </c>
      <c r="E94" s="272" t="n"/>
      <c r="F94" s="97" t="n">
        <v>13846.15</v>
      </c>
      <c r="G94" s="272" t="n"/>
      <c r="H94" s="97" t="n">
        <v>13846.15</v>
      </c>
      <c r="I94" s="272" t="n"/>
      <c r="J94" s="97" t="n">
        <v>13846.15</v>
      </c>
      <c r="K94" s="272" t="n"/>
      <c r="L94" s="97" t="n">
        <v>13846.15</v>
      </c>
      <c r="M94" s="272" t="n"/>
      <c r="N94" s="97" t="n">
        <v>13846.15</v>
      </c>
      <c r="O94" s="272" t="n"/>
      <c r="P94" s="97" t="n">
        <v>13846.15</v>
      </c>
      <c r="Q94" s="272" t="n"/>
      <c r="R94" s="97" t="n">
        <v>13846.15</v>
      </c>
      <c r="S94" s="272" t="n"/>
      <c r="T94" s="97" t="n">
        <v>13846.15</v>
      </c>
      <c r="U94" s="272" t="n"/>
      <c r="V94" s="97" t="n">
        <v>13846.15</v>
      </c>
      <c r="W94" s="272" t="n"/>
      <c r="X94" s="97" t="n">
        <v>13846.15</v>
      </c>
      <c r="Y94" s="272" t="n"/>
      <c r="Z94" s="97" t="n">
        <v>13846.15</v>
      </c>
      <c r="AA94" s="272" t="n"/>
      <c r="AB94" s="97" t="n">
        <v>13846.15</v>
      </c>
      <c r="AC94" s="272" t="n"/>
    </row>
    <row r="95">
      <c r="A95" s="163" t="inlineStr">
        <is>
          <t xml:space="preserve">      Taxes &amp; Insurance</t>
        </is>
      </c>
      <c r="B95" s="166">
        <f>SUM(D95,F95,H95,J95,L95,N95,P95,R95,T95,V95,X95,Z95,AB95)</f>
        <v/>
      </c>
      <c r="C95" s="272">
        <f>SUM(E95,G95,I95,K95,M95,O95,Q95,S95,U95,W95,Y95,AA95,AC95)</f>
        <v/>
      </c>
      <c r="D95" s="97" t="n">
        <v>13230.77</v>
      </c>
      <c r="E95" s="272" t="n"/>
      <c r="F95" s="97" t="n">
        <v>13230.77</v>
      </c>
      <c r="G95" s="272" t="n"/>
      <c r="H95" s="97" t="n">
        <v>13230.77</v>
      </c>
      <c r="I95" s="272" t="n"/>
      <c r="J95" s="97" t="n">
        <v>13230.77</v>
      </c>
      <c r="K95" s="272" t="n"/>
      <c r="L95" s="97" t="n">
        <v>13230.77</v>
      </c>
      <c r="M95" s="272" t="n"/>
      <c r="N95" s="97" t="n">
        <v>13230.77</v>
      </c>
      <c r="O95" s="272" t="n"/>
      <c r="P95" s="97" t="n">
        <v>13230.77</v>
      </c>
      <c r="Q95" s="272" t="n"/>
      <c r="R95" s="97" t="n">
        <v>13230.77</v>
      </c>
      <c r="S95" s="272" t="n"/>
      <c r="T95" s="97" t="n">
        <v>13230.77</v>
      </c>
      <c r="U95" s="272" t="n"/>
      <c r="V95" s="97" t="n">
        <v>13230.77</v>
      </c>
      <c r="W95" s="272" t="n"/>
      <c r="X95" s="97" t="n">
        <v>13230.77</v>
      </c>
      <c r="Y95" s="272" t="n"/>
      <c r="Z95" s="97" t="n">
        <v>13230.77</v>
      </c>
      <c r="AA95" s="272" t="n"/>
      <c r="AB95" s="97" t="n">
        <v>13230.77</v>
      </c>
      <c r="AC95" s="272" t="n"/>
    </row>
    <row r="96">
      <c r="A96" s="189" t="inlineStr">
        <is>
          <t xml:space="preserve">   Taxes &amp; Licenses </t>
        </is>
      </c>
      <c r="B96" s="166" t="n"/>
      <c r="C96" s="272" t="n"/>
      <c r="D96" s="97" t="n"/>
      <c r="E96" s="272" t="n"/>
      <c r="F96" s="97" t="n"/>
      <c r="G96" s="272" t="n"/>
      <c r="H96" s="97" t="n"/>
      <c r="I96" s="272" t="n"/>
      <c r="J96" s="97" t="n"/>
      <c r="K96" s="272" t="n"/>
      <c r="L96" s="97" t="n"/>
      <c r="M96" s="272" t="n"/>
      <c r="N96" s="97" t="n"/>
      <c r="O96" s="272" t="n"/>
      <c r="P96" s="97" t="n"/>
      <c r="Q96" s="272" t="n"/>
      <c r="R96" s="97" t="n"/>
      <c r="S96" s="272" t="n"/>
      <c r="T96" s="97" t="n"/>
      <c r="U96" s="272" t="n"/>
      <c r="V96" s="97" t="n"/>
      <c r="W96" s="272" t="n"/>
      <c r="X96" s="97" t="n"/>
      <c r="Y96" s="272" t="n"/>
      <c r="Z96" s="97" t="n"/>
      <c r="AA96" s="272" t="n"/>
      <c r="AB96" s="97" t="n"/>
      <c r="AC96" s="272" t="n"/>
    </row>
    <row r="97">
      <c r="A97" s="91" t="inlineStr">
        <is>
          <t xml:space="preserve">   Utilities / Gas &amp; Electric</t>
        </is>
      </c>
      <c r="B97" s="166">
        <f>SUM(D97,F97,H97,J97,L97,N97,P97,R97,T97,V97,X97,Z97,AB97)</f>
        <v/>
      </c>
      <c r="C97" s="272">
        <f>SUM(E97,G97,I97,K97,M97,O97,Q97,S97,U97,W97,Y97,AA97,AC97)</f>
        <v/>
      </c>
      <c r="D97" s="97" t="n">
        <v>2500</v>
      </c>
      <c r="E97" s="272" t="n"/>
      <c r="F97" s="97" t="n">
        <v>2500</v>
      </c>
      <c r="G97" s="272" t="n"/>
      <c r="H97" s="97" t="n">
        <v>2500</v>
      </c>
      <c r="I97" s="272" t="n"/>
      <c r="J97" s="97" t="n">
        <v>2500</v>
      </c>
      <c r="K97" s="272" t="n"/>
      <c r="L97" s="97" t="n">
        <v>2500</v>
      </c>
      <c r="M97" s="272" t="n"/>
      <c r="N97" s="97" t="n">
        <v>2500</v>
      </c>
      <c r="O97" s="272" t="n"/>
      <c r="P97" s="97" t="n">
        <v>2500</v>
      </c>
      <c r="Q97" s="272" t="n"/>
      <c r="R97" s="97" t="n">
        <v>2500</v>
      </c>
      <c r="S97" s="272" t="n"/>
      <c r="T97" s="97" t="n">
        <v>2500</v>
      </c>
      <c r="U97" s="272" t="n"/>
      <c r="V97" s="97" t="n">
        <v>2500</v>
      </c>
      <c r="W97" s="272" t="n"/>
      <c r="X97" s="97" t="n">
        <v>2500</v>
      </c>
      <c r="Y97" s="272" t="n"/>
      <c r="Z97" s="97" t="n">
        <v>2500</v>
      </c>
      <c r="AA97" s="272" t="n"/>
      <c r="AB97" s="97" t="n">
        <v>2500</v>
      </c>
      <c r="AC97" s="272" t="n"/>
    </row>
    <row r="98">
      <c r="A98" s="91" t="inlineStr">
        <is>
          <t xml:space="preserve">   Utilities / Internet</t>
        </is>
      </c>
      <c r="B98" s="166">
        <f>SUM(D98,F98,H98,J98,L98,N98,P98,R98,T98,V98,X98,Z98,AB98)</f>
        <v/>
      </c>
      <c r="C98" s="272">
        <f>SUM(E98,G98,I98,K98,M98,O98,Q98,S98,U98,W98,Y98,AA98,AC98)</f>
        <v/>
      </c>
      <c r="D98" s="97" t="n">
        <v>250</v>
      </c>
      <c r="E98" s="272" t="n"/>
      <c r="F98" s="97" t="n">
        <v>250</v>
      </c>
      <c r="G98" s="272" t="n"/>
      <c r="H98" s="97" t="n">
        <v>250</v>
      </c>
      <c r="I98" s="272" t="n"/>
      <c r="J98" s="97" t="n">
        <v>250</v>
      </c>
      <c r="K98" s="272" t="n"/>
      <c r="L98" s="97" t="n">
        <v>250</v>
      </c>
      <c r="M98" s="272" t="n"/>
      <c r="N98" s="97" t="n">
        <v>250</v>
      </c>
      <c r="O98" s="272" t="n"/>
      <c r="P98" s="97" t="n">
        <v>250</v>
      </c>
      <c r="Q98" s="272" t="n"/>
      <c r="R98" s="97" t="n">
        <v>250</v>
      </c>
      <c r="S98" s="272" t="n"/>
      <c r="T98" s="97" t="n">
        <v>250</v>
      </c>
      <c r="U98" s="272" t="n"/>
      <c r="V98" s="97" t="n">
        <v>250</v>
      </c>
      <c r="W98" s="272" t="n"/>
      <c r="X98" s="97" t="n">
        <v>250</v>
      </c>
      <c r="Y98" s="272" t="n"/>
      <c r="Z98" s="97" t="n">
        <v>250</v>
      </c>
      <c r="AA98" s="272" t="n"/>
      <c r="AB98" s="97" t="n">
        <v>250</v>
      </c>
      <c r="AC98" s="272" t="n"/>
    </row>
    <row r="99">
      <c r="A99" s="91" t="inlineStr">
        <is>
          <t xml:space="preserve">   Utilities / Security monitoring</t>
        </is>
      </c>
      <c r="B99" s="166">
        <f>SUM(D99,F99,H99,J99,L99,N99,P99,R99,T99,V99,X99,Z99,AB99)</f>
        <v/>
      </c>
      <c r="C99" s="272">
        <f>SUM(E99,G99,I99,K99,M99,O99,Q99,S99,U99,W99,Y99,AA99,AC99)</f>
        <v/>
      </c>
      <c r="D99" s="97" t="n">
        <v>177.87</v>
      </c>
      <c r="E99" s="272" t="n"/>
      <c r="F99" s="97" t="n">
        <v>177.87</v>
      </c>
      <c r="G99" s="272" t="n"/>
      <c r="H99" s="97" t="n">
        <v>177.87</v>
      </c>
      <c r="I99" s="272" t="n"/>
      <c r="J99" s="97" t="n">
        <v>177.87</v>
      </c>
      <c r="K99" s="272" t="n"/>
      <c r="L99" s="97" t="n">
        <v>177.87</v>
      </c>
      <c r="M99" s="272" t="n"/>
      <c r="N99" s="97" t="n">
        <v>177.87</v>
      </c>
      <c r="O99" s="272" t="n"/>
      <c r="P99" s="97" t="n">
        <v>177.87</v>
      </c>
      <c r="Q99" s="272" t="n"/>
      <c r="R99" s="97" t="n">
        <v>177.87</v>
      </c>
      <c r="S99" s="272" t="n"/>
      <c r="T99" s="97" t="n">
        <v>177.87</v>
      </c>
      <c r="U99" s="272" t="n"/>
      <c r="V99" s="97" t="n">
        <v>177.87</v>
      </c>
      <c r="W99" s="272" t="n"/>
      <c r="X99" s="97" t="n">
        <v>177.87</v>
      </c>
      <c r="Y99" s="272" t="n"/>
      <c r="Z99" s="97" t="n">
        <v>177.87</v>
      </c>
      <c r="AA99" s="272" t="n"/>
      <c r="AB99" s="97" t="n">
        <v>177.87</v>
      </c>
      <c r="AC99" s="272" t="n"/>
    </row>
    <row r="100">
      <c r="A100" s="91" t="inlineStr">
        <is>
          <t xml:space="preserve">   Utilities / Pest</t>
        </is>
      </c>
      <c r="B100" s="166" t="n"/>
      <c r="C100" s="272" t="n"/>
      <c r="D100" s="97" t="n"/>
      <c r="E100" s="272" t="n"/>
      <c r="F100" s="97" t="n"/>
      <c r="G100" s="272" t="n"/>
      <c r="H100" s="97" t="n"/>
      <c r="I100" s="272" t="n"/>
      <c r="J100" s="97" t="n"/>
      <c r="K100" s="272" t="n"/>
      <c r="L100" s="97" t="n"/>
      <c r="M100" s="272" t="n"/>
      <c r="N100" s="97" t="n"/>
      <c r="O100" s="272" t="n"/>
      <c r="P100" s="97" t="n"/>
      <c r="Q100" s="272" t="n"/>
      <c r="R100" s="97" t="n"/>
      <c r="S100" s="272" t="n"/>
      <c r="T100" s="97" t="n"/>
      <c r="U100" s="272" t="n"/>
      <c r="V100" s="97" t="n"/>
      <c r="W100" s="272" t="n"/>
      <c r="X100" s="97" t="n"/>
      <c r="Y100" s="272" t="n"/>
      <c r="Z100" s="97" t="n"/>
      <c r="AA100" s="272" t="n"/>
      <c r="AB100" s="97" t="n"/>
      <c r="AC100" s="272" t="n"/>
    </row>
    <row r="101">
      <c r="A101" s="91" t="inlineStr">
        <is>
          <t xml:space="preserve">   Utilities / Trash</t>
        </is>
      </c>
      <c r="B101" s="166">
        <f>SUM(D101,F101,H101,J101,L101,N101,P101,R101,T101,V101,X101,Z101,AB101)</f>
        <v/>
      </c>
      <c r="C101" s="272">
        <f>SUM(E101,G101,I101,K101,M101,O101,Q101,S101,U101,W101,Y101,AA101,AC101)</f>
        <v/>
      </c>
      <c r="D101" s="97" t="n">
        <v>250</v>
      </c>
      <c r="E101" s="272" t="n"/>
      <c r="F101" s="97" t="n">
        <v>250</v>
      </c>
      <c r="G101" s="272" t="n"/>
      <c r="H101" s="97" t="n">
        <v>250</v>
      </c>
      <c r="I101" s="272" t="n"/>
      <c r="J101" s="97" t="n">
        <v>250</v>
      </c>
      <c r="K101" s="272" t="n"/>
      <c r="L101" s="97" t="n">
        <v>250</v>
      </c>
      <c r="M101" s="272" t="n"/>
      <c r="N101" s="97" t="n">
        <v>250</v>
      </c>
      <c r="O101" s="272" t="n"/>
      <c r="P101" s="97" t="n">
        <v>250</v>
      </c>
      <c r="Q101" s="272" t="n"/>
      <c r="R101" s="97" t="n">
        <v>250</v>
      </c>
      <c r="S101" s="272" t="n"/>
      <c r="T101" s="97" t="n">
        <v>250</v>
      </c>
      <c r="U101" s="272" t="n"/>
      <c r="V101" s="97" t="n">
        <v>250</v>
      </c>
      <c r="W101" s="272" t="n"/>
      <c r="X101" s="97" t="n">
        <v>250</v>
      </c>
      <c r="Y101" s="272" t="n"/>
      <c r="Z101" s="97" t="n">
        <v>250</v>
      </c>
      <c r="AA101" s="272" t="n"/>
      <c r="AB101" s="97" t="n">
        <v>250</v>
      </c>
      <c r="AC101" s="272" t="n"/>
    </row>
    <row r="102">
      <c r="A102" s="190" t="inlineStr">
        <is>
          <t xml:space="preserve">   Utilities / Water &amp; Sewer</t>
        </is>
      </c>
      <c r="B102" s="168">
        <f>SUM(D102,F102,H102,J102,L102,N102,P102,R102,T102,V102,X102,Z102,AB102)</f>
        <v/>
      </c>
      <c r="C102" s="278">
        <f>SUM(E102,G102,I102,K102,M102,O102,Q102,S102,U102,W102,Y102,AA102,AC102)</f>
        <v/>
      </c>
      <c r="D102" s="169" t="n">
        <v>1200</v>
      </c>
      <c r="E102" s="280" t="n"/>
      <c r="F102" s="169" t="n">
        <v>1200</v>
      </c>
      <c r="G102" s="280" t="n"/>
      <c r="H102" s="169" t="n">
        <v>1200</v>
      </c>
      <c r="I102" s="280" t="n"/>
      <c r="J102" s="169" t="n">
        <v>1200</v>
      </c>
      <c r="K102" s="280" t="n"/>
      <c r="L102" s="169" t="n">
        <v>1200</v>
      </c>
      <c r="M102" s="280" t="n"/>
      <c r="N102" s="169" t="n">
        <v>1200</v>
      </c>
      <c r="O102" s="280" t="n"/>
      <c r="P102" s="169" t="n">
        <v>1200</v>
      </c>
      <c r="Q102" s="280" t="n"/>
      <c r="R102" s="169" t="n">
        <v>1200</v>
      </c>
      <c r="S102" s="280" t="n"/>
      <c r="T102" s="169" t="n">
        <v>1200</v>
      </c>
      <c r="U102" s="280" t="n"/>
      <c r="V102" s="169" t="n">
        <v>1200</v>
      </c>
      <c r="W102" s="280" t="n"/>
      <c r="X102" s="169" t="n">
        <v>1200</v>
      </c>
      <c r="Y102" s="280" t="n"/>
      <c r="Z102" s="169" t="n">
        <v>1200</v>
      </c>
      <c r="AA102" s="280" t="n"/>
      <c r="AB102" s="169" t="n">
        <v>1200</v>
      </c>
      <c r="AC102" s="280" t="n"/>
    </row>
    <row r="103">
      <c r="A103" s="302" t="inlineStr">
        <is>
          <t>Total Expenses</t>
        </is>
      </c>
      <c r="B103" s="303">
        <f>SUM(D103,F103,H103,J103,L103,N103,P103,R103,T103,V103,X103,Z103,AB103)</f>
        <v/>
      </c>
      <c r="C103" s="304">
        <f>SUM(C72:C102)</f>
        <v/>
      </c>
      <c r="D103" s="305">
        <f>SUM(D72:D102)</f>
        <v/>
      </c>
      <c r="E103" s="304" t="n"/>
      <c r="F103" s="305">
        <f>SUM(F72:F102)</f>
        <v/>
      </c>
      <c r="G103" s="304" t="n"/>
      <c r="H103" s="305">
        <f>SUM(H72:H102)</f>
        <v/>
      </c>
      <c r="I103" s="304" t="n"/>
      <c r="J103" s="305">
        <f>SUM(J72:J102)</f>
        <v/>
      </c>
      <c r="K103" s="304" t="n"/>
      <c r="L103" s="305">
        <f>SUM(L72:L102)</f>
        <v/>
      </c>
      <c r="M103" s="304" t="n"/>
      <c r="N103" s="305">
        <f>SUM(N72:N102)</f>
        <v/>
      </c>
      <c r="O103" s="304" t="n"/>
      <c r="P103" s="305">
        <f>SUM(P72:P102)</f>
        <v/>
      </c>
      <c r="Q103" s="304" t="n"/>
      <c r="R103" s="305">
        <f>SUM(R72:R102)</f>
        <v/>
      </c>
      <c r="S103" s="304" t="n"/>
      <c r="T103" s="305">
        <f>SUM(T72:T102)</f>
        <v/>
      </c>
      <c r="U103" s="304" t="n"/>
      <c r="V103" s="305">
        <f>SUM(V72:V102)</f>
        <v/>
      </c>
      <c r="W103" s="304" t="n"/>
      <c r="X103" s="305">
        <f>SUM(X72:X102)</f>
        <v/>
      </c>
      <c r="Y103" s="304" t="n"/>
      <c r="Z103" s="305">
        <f>SUM(Z72:Z102)</f>
        <v/>
      </c>
      <c r="AA103" s="304" t="n"/>
      <c r="AB103" s="305">
        <f>SUM(AB72:AB102)</f>
        <v/>
      </c>
      <c r="AC103" s="304" t="n"/>
    </row>
    <row r="104">
      <c r="A104" s="288" t="inlineStr">
        <is>
          <t>Net Operating Income</t>
        </is>
      </c>
      <c r="B104" s="300">
        <f>SUM(B69-B103)</f>
        <v/>
      </c>
      <c r="C104" s="306">
        <f>SUM(C69-C103)</f>
        <v/>
      </c>
      <c r="D104" s="300">
        <f>SUM(D69-D103)</f>
        <v/>
      </c>
      <c r="E104" s="306" t="n"/>
      <c r="F104" s="307">
        <f>SUM(F69-F103)</f>
        <v/>
      </c>
      <c r="G104" s="306" t="n"/>
      <c r="H104" s="300">
        <f>SUM(H69-H103)</f>
        <v/>
      </c>
      <c r="I104" s="306" t="n"/>
      <c r="J104" s="300">
        <f>SUM(J69-J103)</f>
        <v/>
      </c>
      <c r="K104" s="306" t="n"/>
      <c r="L104" s="300">
        <f>SUM(L69-L103)</f>
        <v/>
      </c>
      <c r="M104" s="306" t="n"/>
      <c r="N104" s="300">
        <f>SUM(N69-N103)</f>
        <v/>
      </c>
      <c r="O104" s="306" t="n"/>
      <c r="P104" s="300">
        <f>SUM(P69-P103)</f>
        <v/>
      </c>
      <c r="Q104" s="306" t="n"/>
      <c r="R104" s="300">
        <f>SUM(R69-R103)</f>
        <v/>
      </c>
      <c r="S104" s="306" t="n"/>
      <c r="T104" s="300">
        <f>SUM(T69-T103)</f>
        <v/>
      </c>
      <c r="U104" s="306" t="n"/>
      <c r="V104" s="300">
        <f>SUM(V69-V103)</f>
        <v/>
      </c>
      <c r="W104" s="306" t="n"/>
      <c r="X104" s="300">
        <f>SUM(X69-X103)</f>
        <v/>
      </c>
      <c r="Y104" s="306" t="n"/>
      <c r="Z104" s="300">
        <f>SUM(Z69-Z103)</f>
        <v/>
      </c>
      <c r="AA104" s="306" t="n"/>
      <c r="AB104" s="300">
        <f>SUM(AB69-AB103)</f>
        <v/>
      </c>
      <c r="AC104" s="306" t="n"/>
    </row>
    <row r="105">
      <c r="A105" s="91" t="inlineStr">
        <is>
          <t>Other Income</t>
        </is>
      </c>
      <c r="B105" s="92" t="n"/>
      <c r="C105" s="93" t="n"/>
      <c r="D105" s="97" t="n">
        <v>0</v>
      </c>
      <c r="E105" s="93" t="n"/>
      <c r="F105" s="97" t="n">
        <v>0</v>
      </c>
      <c r="G105" s="93" t="n"/>
      <c r="H105" s="97" t="n">
        <v>0</v>
      </c>
      <c r="I105" s="93" t="n"/>
      <c r="J105" s="97" t="n">
        <v>0</v>
      </c>
      <c r="K105" s="93" t="n"/>
      <c r="L105" s="97" t="n">
        <v>0</v>
      </c>
      <c r="M105" s="93" t="n"/>
      <c r="N105" s="97" t="n">
        <v>0</v>
      </c>
      <c r="O105" s="93" t="n"/>
      <c r="P105" s="97" t="n">
        <v>0</v>
      </c>
      <c r="Q105" s="93" t="n"/>
      <c r="R105" s="97" t="n">
        <v>0</v>
      </c>
      <c r="S105" s="93" t="n"/>
      <c r="T105" s="97" t="n">
        <v>0</v>
      </c>
      <c r="U105" s="93" t="n"/>
      <c r="V105" s="97" t="n">
        <v>0</v>
      </c>
      <c r="W105" s="93" t="n"/>
      <c r="X105" s="97" t="n">
        <v>0</v>
      </c>
      <c r="Y105" s="93" t="n"/>
      <c r="Z105" s="97" t="n">
        <v>0</v>
      </c>
      <c r="AA105" s="93" t="n"/>
      <c r="AB105" s="97" t="n">
        <v>0</v>
      </c>
      <c r="AC105" s="93" t="n"/>
    </row>
    <row r="106">
      <c r="A106" s="308" t="inlineStr">
        <is>
          <t xml:space="preserve">   Interest Income</t>
        </is>
      </c>
      <c r="B106" s="271">
        <f>SUM(D106,F106,H106,J106,L106,N106,P106,R106,T106,V106,X106,Z106,AB106)</f>
        <v/>
      </c>
      <c r="C106" s="272">
        <f>SUM(E106,G106,I106,K106,M106,O106,Q106,S106,U106,W106,Y106,AA106,AC106)</f>
        <v/>
      </c>
      <c r="D106" s="293" t="n">
        <v>0</v>
      </c>
      <c r="E106" s="262" t="n"/>
      <c r="F106" s="293" t="n">
        <v>0</v>
      </c>
      <c r="G106" s="262" t="n"/>
      <c r="H106" s="293" t="n">
        <v>0</v>
      </c>
      <c r="I106" s="262" t="n"/>
      <c r="J106" s="293" t="n">
        <v>0</v>
      </c>
      <c r="K106" s="262" t="n"/>
      <c r="L106" s="293" t="n">
        <v>0</v>
      </c>
      <c r="M106" s="262" t="n"/>
      <c r="N106" s="293" t="n">
        <v>0</v>
      </c>
      <c r="O106" s="262" t="n"/>
      <c r="P106" s="293" t="n">
        <v>0</v>
      </c>
      <c r="Q106" s="262" t="n"/>
      <c r="R106" s="293" t="n">
        <v>0</v>
      </c>
      <c r="S106" s="262" t="n"/>
      <c r="T106" s="293" t="n">
        <v>0</v>
      </c>
      <c r="U106" s="262" t="n"/>
      <c r="V106" s="293" t="n">
        <v>0</v>
      </c>
      <c r="W106" s="262" t="n"/>
      <c r="X106" s="293" t="n">
        <v>0</v>
      </c>
      <c r="Y106" s="262" t="n"/>
      <c r="Z106" s="293" t="n">
        <v>0</v>
      </c>
      <c r="AA106" s="262" t="n"/>
      <c r="AB106" s="293" t="n">
        <v>0</v>
      </c>
      <c r="AC106" s="262" t="n"/>
    </row>
    <row r="107">
      <c r="A107" s="309" t="inlineStr">
        <is>
          <t xml:space="preserve">   Rebates (CapOne)</t>
        </is>
      </c>
      <c r="B107" s="278">
        <f>SUM(D107,F107,H107,J107,L107,N107,P107,R107,T107,V107,X107,Z107,AB107)</f>
        <v/>
      </c>
      <c r="C107" s="278">
        <f>SUM(E107,G107,I107,K107,M107,O107,Q107,S107,U107,W107,Y107,AA107,AC107)</f>
        <v/>
      </c>
      <c r="D107" s="310" t="n">
        <v>1000</v>
      </c>
      <c r="E107" s="311" t="n"/>
      <c r="F107" s="310" t="n">
        <v>1000</v>
      </c>
      <c r="G107" s="311" t="n"/>
      <c r="H107" s="310" t="n">
        <v>1000</v>
      </c>
      <c r="I107" s="311" t="n"/>
      <c r="J107" s="310" t="n">
        <v>1000</v>
      </c>
      <c r="K107" s="311" t="n"/>
      <c r="L107" s="310" t="n">
        <v>1000</v>
      </c>
      <c r="M107" s="311" t="n"/>
      <c r="N107" s="310" t="n">
        <v>1000</v>
      </c>
      <c r="O107" s="311" t="n"/>
      <c r="P107" s="310" t="n">
        <v>1000</v>
      </c>
      <c r="Q107" s="311" t="n"/>
      <c r="R107" s="310" t="n">
        <v>1000</v>
      </c>
      <c r="S107" s="311" t="n"/>
      <c r="T107" s="310" t="n">
        <v>1000</v>
      </c>
      <c r="U107" s="311" t="n"/>
      <c r="V107" s="310" t="n">
        <v>1000</v>
      </c>
      <c r="W107" s="311" t="n"/>
      <c r="X107" s="310" t="n">
        <v>1000</v>
      </c>
      <c r="Y107" s="311" t="n"/>
      <c r="Z107" s="312" t="n">
        <v>1000</v>
      </c>
      <c r="AA107" s="311" t="n"/>
      <c r="AB107" s="312" t="n">
        <v>1000</v>
      </c>
      <c r="AC107" s="311" t="n"/>
    </row>
    <row r="108">
      <c r="A108" s="313" t="inlineStr">
        <is>
          <t>Total Other Income</t>
        </is>
      </c>
      <c r="B108" s="314">
        <f>SUM(B107)</f>
        <v/>
      </c>
      <c r="C108" s="306">
        <f>SUM(C73-C107)</f>
        <v/>
      </c>
      <c r="D108" s="315">
        <f>SUM(D107)</f>
        <v/>
      </c>
      <c r="E108" s="316" t="n"/>
      <c r="F108" s="315">
        <f>SUM(F107)</f>
        <v/>
      </c>
      <c r="G108" s="316" t="n"/>
      <c r="H108" s="315">
        <f>SUM(H107)</f>
        <v/>
      </c>
      <c r="I108" s="316" t="n"/>
      <c r="J108" s="315">
        <f>SUM(J107)</f>
        <v/>
      </c>
      <c r="K108" s="316" t="n"/>
      <c r="L108" s="315">
        <f>SUM(L107)</f>
        <v/>
      </c>
      <c r="M108" s="316" t="n"/>
      <c r="N108" s="315">
        <f>SUM(N107)</f>
        <v/>
      </c>
      <c r="O108" s="316" t="n"/>
      <c r="P108" s="315">
        <f>SUM(P107)</f>
        <v/>
      </c>
      <c r="Q108" s="316" t="n"/>
      <c r="R108" s="315">
        <f>SUM(R107)</f>
        <v/>
      </c>
      <c r="S108" s="316" t="n"/>
      <c r="T108" s="315">
        <f>SUM(T107)</f>
        <v/>
      </c>
      <c r="U108" s="316" t="n"/>
      <c r="V108" s="315">
        <f>SUM(V107)</f>
        <v/>
      </c>
      <c r="W108" s="316" t="n"/>
      <c r="X108" s="315">
        <f>SUM(X107)</f>
        <v/>
      </c>
      <c r="Y108" s="316" t="n"/>
      <c r="Z108" s="315">
        <f>SUM(Z107)</f>
        <v/>
      </c>
      <c r="AA108" s="316" t="n"/>
      <c r="AB108" s="315">
        <f>SUM(AB107)</f>
        <v/>
      </c>
      <c r="AC108" s="316" t="n"/>
    </row>
    <row r="109">
      <c r="A109" s="91" t="inlineStr">
        <is>
          <t>Other Expenses</t>
        </is>
      </c>
      <c r="B109" s="92" t="n"/>
      <c r="C109" s="93" t="n"/>
      <c r="D109" s="97" t="n">
        <v>0</v>
      </c>
      <c r="E109" s="93" t="n"/>
      <c r="F109" s="97" t="n">
        <v>0</v>
      </c>
      <c r="G109" s="93" t="n"/>
      <c r="H109" s="97" t="n">
        <v>0</v>
      </c>
      <c r="I109" s="93" t="n"/>
      <c r="J109" s="97" t="n">
        <v>0</v>
      </c>
      <c r="K109" s="93" t="n"/>
      <c r="L109" s="97" t="n">
        <v>0</v>
      </c>
      <c r="M109" s="93" t="n"/>
      <c r="N109" s="97" t="n">
        <v>0</v>
      </c>
      <c r="O109" s="93" t="n"/>
      <c r="P109" s="97" t="n">
        <v>0</v>
      </c>
      <c r="Q109" s="93" t="n"/>
      <c r="R109" s="97" t="n">
        <v>0</v>
      </c>
      <c r="S109" s="93" t="n"/>
      <c r="T109" s="97" t="n">
        <v>0</v>
      </c>
      <c r="U109" s="93" t="n"/>
      <c r="V109" s="97" t="n">
        <v>0</v>
      </c>
      <c r="W109" s="93" t="n"/>
      <c r="X109" s="97" t="n">
        <v>0</v>
      </c>
      <c r="Y109" s="93" t="n"/>
      <c r="Z109" s="97" t="n">
        <v>0</v>
      </c>
      <c r="AA109" s="93" t="n"/>
      <c r="AB109" s="97" t="n">
        <v>0</v>
      </c>
      <c r="AC109" s="93" t="n"/>
    </row>
    <row r="110">
      <c r="A110" s="317" t="inlineStr">
        <is>
          <t xml:space="preserve">   Companies Management Fee</t>
        </is>
      </c>
      <c r="B110" s="271">
        <f>SUM(D110,F110,H110,J110,L110,N110,P110,R110,T110,V110,X110,Z110,AB110)</f>
        <v/>
      </c>
      <c r="C110" s="272">
        <f>SUM(E110,G110,I110,K110,M110,O110,Q110,S110,U110,W110,Y110,AA110,AC110)</f>
        <v/>
      </c>
      <c r="D110" s="293">
        <f>SUM(D28*0.02)</f>
        <v/>
      </c>
      <c r="E110" s="272" t="n"/>
      <c r="F110" s="293">
        <f>SUM(F28*0.02)</f>
        <v/>
      </c>
      <c r="G110" s="272" t="n"/>
      <c r="H110" s="293">
        <f>SUM(H28*0.02)</f>
        <v/>
      </c>
      <c r="I110" s="276" t="n"/>
      <c r="J110" s="293">
        <f>SUM(J28*0.02)</f>
        <v/>
      </c>
      <c r="K110" s="276" t="n"/>
      <c r="L110" s="293">
        <f>SUM(L28*0.02)</f>
        <v/>
      </c>
      <c r="M110" s="276" t="n"/>
      <c r="N110" s="293">
        <f>SUM(N28*0.02)</f>
        <v/>
      </c>
      <c r="O110" s="276" t="n"/>
      <c r="P110" s="293">
        <f>SUM(P28*0.02)</f>
        <v/>
      </c>
      <c r="Q110" s="276" t="n"/>
      <c r="R110" s="293">
        <f>SUM(R28*0.02)</f>
        <v/>
      </c>
      <c r="S110" s="276" t="n"/>
      <c r="T110" s="293">
        <f>SUM(T28*0.02)</f>
        <v/>
      </c>
      <c r="U110" s="276" t="n"/>
      <c r="V110" s="293">
        <f>SUM(V28*0.02)</f>
        <v/>
      </c>
      <c r="W110" s="276" t="n"/>
      <c r="X110" s="293">
        <f>SUM(X28*0.02)</f>
        <v/>
      </c>
      <c r="Y110" s="276" t="n"/>
      <c r="Z110" s="293">
        <f>SUM(Z28*0.02)</f>
        <v/>
      </c>
      <c r="AA110" s="276" t="n"/>
      <c r="AB110" s="293">
        <f>SUM(AB28*0.02)</f>
        <v/>
      </c>
      <c r="AC110" s="276" t="n"/>
    </row>
    <row r="111">
      <c r="A111" s="317" t="inlineStr">
        <is>
          <t xml:space="preserve">   Depreciation</t>
        </is>
      </c>
      <c r="B111" s="271">
        <f>SUM(D111,F111,H111,J111,L111,N111,P111,R111,T111,V111,X111,Z111,AB111)</f>
        <v/>
      </c>
      <c r="C111" s="272">
        <f>SUM(E111,G111,I111,K111,M111,O111,Q111,S111,U111,W111,Y111,AA111,AC111)</f>
        <v/>
      </c>
      <c r="D111" s="293" t="n">
        <v>0</v>
      </c>
      <c r="E111" s="276" t="n"/>
      <c r="F111" s="293" t="n">
        <v>0</v>
      </c>
      <c r="G111" s="276" t="n"/>
      <c r="H111" s="293" t="n">
        <v>0</v>
      </c>
      <c r="I111" s="276" t="n"/>
      <c r="J111" s="293" t="n">
        <v>0</v>
      </c>
      <c r="K111" s="276" t="n"/>
      <c r="L111" s="293" t="n">
        <v>0</v>
      </c>
      <c r="M111" s="276" t="n"/>
      <c r="N111" s="293" t="n">
        <v>0</v>
      </c>
      <c r="O111" s="276" t="n"/>
      <c r="P111" s="293" t="n">
        <v>0</v>
      </c>
      <c r="Q111" s="276" t="n"/>
      <c r="R111" s="293" t="n">
        <v>0</v>
      </c>
      <c r="S111" s="276" t="n"/>
      <c r="T111" s="293" t="n">
        <v>0</v>
      </c>
      <c r="U111" s="276" t="n"/>
      <c r="V111" s="293" t="n">
        <v>0</v>
      </c>
      <c r="W111" s="276" t="n"/>
      <c r="X111" s="293" t="n">
        <v>0</v>
      </c>
      <c r="Y111" s="276" t="n"/>
      <c r="Z111" s="293" t="n">
        <v>0</v>
      </c>
      <c r="AA111" s="276" t="n"/>
      <c r="AB111" s="293" t="n">
        <v>0</v>
      </c>
      <c r="AC111" s="276" t="n"/>
    </row>
    <row r="112">
      <c r="A112" s="317" t="inlineStr">
        <is>
          <t xml:space="preserve">   G&amp;A InterCo Allocation</t>
        </is>
      </c>
      <c r="B112" s="271">
        <f>SUM(D112,F112,H112,J112,L112,N112,P112,R112,T112,V112,X112,Z112,AB112)</f>
        <v/>
      </c>
      <c r="C112" s="272">
        <f>SUM(E112,G112,I112,K112,M112,O112,Q112,S112,U112,W112,Y112,AA112,AC112)</f>
        <v/>
      </c>
      <c r="D112" s="293" t="n">
        <v>0</v>
      </c>
      <c r="E112" s="276" t="n"/>
      <c r="F112" s="293" t="n">
        <v>0</v>
      </c>
      <c r="G112" s="276" t="n"/>
      <c r="H112" s="293" t="n">
        <v>0</v>
      </c>
      <c r="I112" s="276" t="n"/>
      <c r="J112" s="293" t="n">
        <v>0</v>
      </c>
      <c r="K112" s="276" t="n"/>
      <c r="L112" s="293" t="n">
        <v>0</v>
      </c>
      <c r="M112" s="276" t="n"/>
      <c r="N112" s="293" t="n">
        <v>0</v>
      </c>
      <c r="O112" s="276" t="n"/>
      <c r="P112" s="293" t="n">
        <v>0</v>
      </c>
      <c r="Q112" s="276" t="n"/>
      <c r="R112" s="293" t="n">
        <v>0</v>
      </c>
      <c r="S112" s="276" t="n"/>
      <c r="T112" s="293" t="n">
        <v>0</v>
      </c>
      <c r="U112" s="276" t="n"/>
      <c r="V112" s="293" t="n">
        <v>0</v>
      </c>
      <c r="W112" s="276" t="n"/>
      <c r="X112" s="293" t="n">
        <v>0</v>
      </c>
      <c r="Y112" s="276" t="n"/>
      <c r="Z112" s="293" t="n">
        <v>0</v>
      </c>
      <c r="AA112" s="276" t="n"/>
      <c r="AB112" s="293" t="n">
        <v>0</v>
      </c>
      <c r="AC112" s="276" t="n"/>
    </row>
    <row r="113">
      <c r="A113" s="318" t="inlineStr">
        <is>
          <t xml:space="preserve">   Property Taxes</t>
        </is>
      </c>
      <c r="B113" s="278">
        <f>SUM(D113,F113,H113,J113,L113,N113,P113,R113,T113,V113,X113,Z113,AB113)</f>
        <v/>
      </c>
      <c r="C113" s="278">
        <f>SUM(E113,G113,I113,K113,M113,O113,Q113,S113,U113,W113,Y113,AA113,AC113)</f>
        <v/>
      </c>
      <c r="D113" s="310" t="n">
        <v>0</v>
      </c>
      <c r="E113" s="283" t="n"/>
      <c r="F113" s="310" t="n">
        <v>7000</v>
      </c>
      <c r="G113" s="283" t="n"/>
      <c r="H113" s="310" t="n">
        <v>0</v>
      </c>
      <c r="I113" s="283" t="n"/>
      <c r="J113" s="310" t="n">
        <v>0</v>
      </c>
      <c r="K113" s="283" t="n"/>
      <c r="L113" s="310" t="n">
        <v>0</v>
      </c>
      <c r="M113" s="283" t="n"/>
      <c r="N113" s="310" t="n">
        <v>7000</v>
      </c>
      <c r="O113" s="283" t="n"/>
      <c r="P113" s="310" t="n">
        <v>0</v>
      </c>
      <c r="Q113" s="283" t="n"/>
      <c r="R113" s="310" t="n">
        <v>0</v>
      </c>
      <c r="S113" s="283" t="n"/>
      <c r="T113" s="310" t="n">
        <v>0</v>
      </c>
      <c r="U113" s="283" t="n"/>
      <c r="V113" s="310" t="n">
        <v>0</v>
      </c>
      <c r="W113" s="283" t="n"/>
      <c r="X113" s="310" t="n">
        <v>0</v>
      </c>
      <c r="Y113" s="283" t="n"/>
      <c r="Z113" s="310" t="n"/>
      <c r="AA113" s="283" t="n"/>
      <c r="AB113" s="310" t="n">
        <v>0</v>
      </c>
      <c r="AC113" s="283" t="n"/>
    </row>
    <row r="114">
      <c r="A114" s="302" t="inlineStr">
        <is>
          <t>Other Expenses</t>
        </is>
      </c>
      <c r="B114" s="303">
        <f>SUM(D114,F114,H114,J114,L114,N114,P114,R114,T114,V114,X114,Z114,AB114)</f>
        <v/>
      </c>
      <c r="C114" s="319">
        <f>SUM(C110:C113)</f>
        <v/>
      </c>
      <c r="D114" s="305">
        <f>SUM(D109:D113)</f>
        <v/>
      </c>
      <c r="E114" s="319" t="n"/>
      <c r="F114" s="305">
        <f>SUM(F109:F113)</f>
        <v/>
      </c>
      <c r="G114" s="319" t="n"/>
      <c r="H114" s="305">
        <f>SUM(H109:H113)</f>
        <v/>
      </c>
      <c r="I114" s="319" t="n"/>
      <c r="J114" s="305">
        <f>SUM(J109:J113)</f>
        <v/>
      </c>
      <c r="K114" s="319" t="n"/>
      <c r="L114" s="305">
        <f>SUM(L109:L113)</f>
        <v/>
      </c>
      <c r="M114" s="319" t="n"/>
      <c r="N114" s="305">
        <f>SUM(N109:N113)</f>
        <v/>
      </c>
      <c r="O114" s="319" t="n"/>
      <c r="P114" s="305">
        <f>SUM(P109:P113)</f>
        <v/>
      </c>
      <c r="Q114" s="319" t="n"/>
      <c r="R114" s="305">
        <f>SUM(R109:R113)</f>
        <v/>
      </c>
      <c r="S114" s="319" t="n"/>
      <c r="T114" s="305">
        <f>SUM(T109:T113)</f>
        <v/>
      </c>
      <c r="U114" s="319" t="n"/>
      <c r="V114" s="305">
        <f>SUM(V109:V113)</f>
        <v/>
      </c>
      <c r="W114" s="319" t="n"/>
      <c r="X114" s="305">
        <f>SUM(X109:X113)</f>
        <v/>
      </c>
      <c r="Y114" s="319" t="n"/>
      <c r="Z114" s="305">
        <f>SUM(Z109:Z113)</f>
        <v/>
      </c>
      <c r="AA114" s="319" t="n"/>
      <c r="AB114" s="305">
        <f>SUM(AB109:AB113)</f>
        <v/>
      </c>
      <c r="AC114" s="319" t="n"/>
    </row>
    <row r="115">
      <c r="A115" s="320" t="inlineStr">
        <is>
          <t>Total Other Expenses</t>
        </is>
      </c>
      <c r="B115" s="321">
        <f>SUM(B114)</f>
        <v/>
      </c>
      <c r="C115" s="322">
        <f>SUM(C114)</f>
        <v/>
      </c>
      <c r="D115" s="321">
        <f>SUM(D114)</f>
        <v/>
      </c>
      <c r="E115" s="322" t="n"/>
      <c r="F115" s="321">
        <f>SUM(F114)</f>
        <v/>
      </c>
      <c r="G115" s="322" t="n"/>
      <c r="H115" s="321">
        <f>SUM(H114)</f>
        <v/>
      </c>
      <c r="I115" s="322" t="n"/>
      <c r="J115" s="321">
        <f>SUM(J114)</f>
        <v/>
      </c>
      <c r="K115" s="322" t="n"/>
      <c r="L115" s="321">
        <f>SUM(L114)</f>
        <v/>
      </c>
      <c r="M115" s="322" t="n"/>
      <c r="N115" s="321">
        <f>SUM(N114)</f>
        <v/>
      </c>
      <c r="O115" s="322" t="n"/>
      <c r="P115" s="321">
        <f>SUM(P114)</f>
        <v/>
      </c>
      <c r="Q115" s="322" t="n"/>
      <c r="R115" s="321">
        <f>SUM(R114)</f>
        <v/>
      </c>
      <c r="S115" s="322" t="n"/>
      <c r="T115" s="321">
        <f>SUM(T114)</f>
        <v/>
      </c>
      <c r="U115" s="322" t="n"/>
      <c r="V115" s="321">
        <f>SUM(V114)</f>
        <v/>
      </c>
      <c r="W115" s="322" t="n"/>
      <c r="X115" s="321">
        <f>SUM(X114)</f>
        <v/>
      </c>
      <c r="Y115" s="322" t="n"/>
      <c r="Z115" s="321">
        <f>SUM(Z114)</f>
        <v/>
      </c>
      <c r="AA115" s="322" t="n"/>
      <c r="AB115" s="321">
        <f>SUM(AB114)</f>
        <v/>
      </c>
      <c r="AC115" s="322" t="n"/>
    </row>
    <row r="116">
      <c r="A116" s="317" t="n"/>
      <c r="B116" s="323" t="n"/>
      <c r="C116" s="276" t="n"/>
      <c r="D116" s="293" t="n"/>
      <c r="E116" s="276" t="n"/>
      <c r="F116" s="293" t="n"/>
      <c r="G116" s="276" t="n"/>
      <c r="H116" s="293" t="n"/>
      <c r="I116" s="276" t="n"/>
      <c r="J116" s="293" t="n"/>
      <c r="K116" s="276" t="n"/>
      <c r="L116" s="293" t="n"/>
      <c r="M116" s="276" t="n"/>
      <c r="N116" s="293" t="n"/>
      <c r="O116" s="276" t="n"/>
      <c r="P116" s="293" t="n"/>
      <c r="Q116" s="276" t="n"/>
      <c r="R116" s="293" t="n"/>
      <c r="S116" s="276" t="n"/>
      <c r="T116" s="293" t="n"/>
      <c r="U116" s="276" t="n"/>
      <c r="V116" s="293" t="n"/>
      <c r="W116" s="276" t="n"/>
      <c r="X116" s="293" t="n"/>
      <c r="Y116" s="276" t="n"/>
      <c r="Z116" s="293" t="n"/>
      <c r="AA116" s="276" t="n"/>
      <c r="AB116" s="293" t="n"/>
      <c r="AC116" s="276" t="n"/>
    </row>
    <row r="117">
      <c r="A117" s="288" t="inlineStr">
        <is>
          <t>Net Income</t>
        </is>
      </c>
      <c r="B117" s="288">
        <f>SUM(B104+B108-B115)</f>
        <v/>
      </c>
      <c r="C117" s="288">
        <f>SUM(C104+C108-C115)</f>
        <v/>
      </c>
      <c r="D117" s="288">
        <f>SUM(D104+D108-D115)</f>
        <v/>
      </c>
      <c r="E117" s="288" t="n"/>
      <c r="F117" s="288">
        <f>SUM(F104+F108-F115)</f>
        <v/>
      </c>
      <c r="G117" s="288" t="n"/>
      <c r="H117" s="288">
        <f>SUM(H104+H108-H115)</f>
        <v/>
      </c>
      <c r="I117" s="288" t="n"/>
      <c r="J117" s="288">
        <f>SUM(J104+J108-J115)</f>
        <v/>
      </c>
      <c r="K117" s="288" t="n"/>
      <c r="L117" s="288">
        <f>SUM(L104+L108-L115)</f>
        <v/>
      </c>
      <c r="M117" s="288" t="n"/>
      <c r="N117" s="288">
        <f>SUM(N104+N108-N115)</f>
        <v/>
      </c>
      <c r="O117" s="288" t="n"/>
      <c r="P117" s="288">
        <f>SUM(P104+P108-P115)</f>
        <v/>
      </c>
      <c r="Q117" s="288" t="n"/>
      <c r="R117" s="288">
        <f>SUM(R104+R108-R115)</f>
        <v/>
      </c>
      <c r="S117" s="288" t="n"/>
      <c r="T117" s="288">
        <f>SUM(T104+T108-T115)</f>
        <v/>
      </c>
      <c r="U117" s="288" t="n"/>
      <c r="V117" s="288">
        <f>SUM(V104+V108-V115)</f>
        <v/>
      </c>
      <c r="W117" s="288" t="n"/>
      <c r="X117" s="288">
        <f>SUM(X104+X108-X115)</f>
        <v/>
      </c>
      <c r="Y117" s="288" t="n"/>
      <c r="Z117" s="288">
        <f>SUM(Z104+Z108-Z115)</f>
        <v/>
      </c>
      <c r="AA117" s="288" t="n"/>
      <c r="AB117" s="288">
        <f>SUM(AB104+AB108-AB115)</f>
        <v/>
      </c>
      <c r="AC117" s="288" t="n"/>
    </row>
    <row r="118">
      <c r="A118" s="317" t="n"/>
      <c r="B118" s="317">
        <f>SUM(D117,F117,H117,J117,L117,N117,P117,R117,T117,V117,X117,Z117,AB117)</f>
        <v/>
      </c>
      <c r="C118" s="317" t="n"/>
      <c r="D118" s="308" t="n"/>
      <c r="E118" s="317" t="n"/>
      <c r="F118" s="308" t="n"/>
      <c r="G118" s="317" t="n"/>
      <c r="H118" s="308" t="n"/>
      <c r="I118" s="317" t="n"/>
      <c r="J118" s="308" t="n"/>
      <c r="K118" s="317" t="n"/>
      <c r="L118" s="308" t="n"/>
      <c r="M118" s="317" t="n"/>
      <c r="N118" s="308" t="n"/>
      <c r="O118" s="317" t="n"/>
      <c r="P118" s="308" t="n"/>
      <c r="Q118" s="317" t="n"/>
      <c r="R118" s="308" t="n"/>
      <c r="S118" s="317" t="n"/>
      <c r="T118" s="308" t="n"/>
      <c r="U118" s="317" t="n"/>
      <c r="V118" s="308" t="n"/>
      <c r="W118" s="317" t="n"/>
      <c r="X118" s="308" t="n"/>
      <c r="Y118" s="317" t="n"/>
      <c r="Z118" s="308" t="n"/>
      <c r="AA118" s="317" t="n"/>
      <c r="AB118" s="308" t="n"/>
      <c r="AC118" s="317" t="n"/>
    </row>
    <row r="119">
      <c r="A119" s="320" t="inlineStr">
        <is>
          <t>QBO Total Income</t>
        </is>
      </c>
      <c r="B119" s="321" t="n"/>
      <c r="C119" s="322" t="n"/>
      <c r="D119" s="321" t="n"/>
      <c r="E119" s="322" t="n"/>
      <c r="F119" s="321" t="n"/>
      <c r="G119" s="322" t="n"/>
      <c r="H119" s="321" t="n"/>
      <c r="I119" s="322" t="n"/>
      <c r="J119" s="321" t="n"/>
      <c r="K119" s="322" t="n"/>
      <c r="L119" s="321" t="n"/>
      <c r="M119" s="322" t="n"/>
      <c r="N119" s="321" t="n"/>
      <c r="O119" s="322" t="n"/>
      <c r="P119" s="321" t="n"/>
      <c r="Q119" s="322" t="n"/>
      <c r="R119" s="321" t="n"/>
      <c r="S119" s="322" t="n"/>
      <c r="T119" s="321" t="n"/>
      <c r="U119" s="322" t="n"/>
      <c r="V119" s="321" t="n"/>
      <c r="W119" s="322" t="n"/>
      <c r="X119" s="321" t="n"/>
      <c r="Y119" s="322" t="n"/>
      <c r="Z119" s="321" t="n"/>
      <c r="AA119" s="322" t="n"/>
      <c r="AB119" s="321" t="n"/>
      <c r="AC119" s="322" t="n"/>
    </row>
    <row r="120">
      <c r="D120" s="212" t="n"/>
      <c r="F120" s="212" t="n"/>
      <c r="H120" s="212" t="n"/>
      <c r="J120" s="212" t="n"/>
      <c r="L120" s="212" t="n"/>
      <c r="N120" s="212" t="n"/>
      <c r="P120" s="212" t="n"/>
      <c r="R120" s="212" t="n"/>
      <c r="T120" s="212" t="n"/>
      <c r="V120" s="212" t="n"/>
      <c r="X120" s="212" t="n"/>
      <c r="Z120" s="212" t="n"/>
      <c r="AB120" s="212" t="n"/>
    </row>
    <row r="121">
      <c r="D121" s="212" t="n"/>
      <c r="F121" s="212" t="n"/>
      <c r="H121" s="212" t="n"/>
      <c r="J121" s="212" t="n"/>
      <c r="L121" s="212" t="n"/>
      <c r="N121" s="212" t="n"/>
      <c r="P121" s="212" t="n"/>
      <c r="R121" s="212" t="n"/>
      <c r="T121" s="212" t="n"/>
      <c r="V121" s="212" t="n"/>
      <c r="X121" s="212" t="n"/>
      <c r="Z121" s="212" t="n"/>
      <c r="AB121" s="212" t="n"/>
    </row>
    <row r="122">
      <c r="D122" s="212" t="n"/>
      <c r="F122" s="212" t="n"/>
      <c r="H122" s="212" t="n"/>
      <c r="J122" s="212" t="n"/>
      <c r="L122" s="212" t="n"/>
      <c r="N122" s="212" t="n"/>
      <c r="P122" s="212" t="n"/>
      <c r="R122" s="212" t="n"/>
      <c r="T122" s="212" t="n"/>
      <c r="V122" s="212" t="n"/>
      <c r="X122" s="212" t="n"/>
      <c r="Z122" s="212" t="n"/>
      <c r="AB122" s="212" t="n"/>
    </row>
    <row r="123">
      <c r="D123" s="212" t="n"/>
      <c r="F123" s="212" t="n"/>
      <c r="H123" s="212" t="n"/>
      <c r="J123" s="212" t="n"/>
      <c r="L123" s="212" t="n"/>
      <c r="N123" s="212" t="n"/>
      <c r="O123" s="308" t="n"/>
      <c r="P123" s="212" t="n"/>
      <c r="R123" s="212" t="n"/>
      <c r="T123" s="212" t="n"/>
      <c r="V123" s="212" t="n"/>
      <c r="X123" s="212" t="n"/>
      <c r="Z123" s="212" t="n"/>
      <c r="AB123" s="212" t="n"/>
    </row>
    <row r="124">
      <c r="A124" s="95" t="inlineStr">
        <is>
          <t>PR Tax %</t>
        </is>
      </c>
      <c r="D124" s="212" t="n"/>
      <c r="F124" s="212" t="n"/>
      <c r="G124" s="213" t="n"/>
      <c r="H124" s="213" t="n"/>
      <c r="I124" s="213" t="n"/>
      <c r="J124" s="213" t="n"/>
      <c r="K124" s="213" t="n"/>
      <c r="L124" s="213" t="n"/>
      <c r="M124" s="213" t="n"/>
      <c r="N124" s="213" t="n"/>
      <c r="O124" s="213" t="n"/>
      <c r="P124" s="213" t="n"/>
      <c r="Q124" s="213" t="n"/>
      <c r="R124" s="212" t="n"/>
      <c r="T124" s="212" t="n"/>
      <c r="V124" s="212" t="n"/>
      <c r="X124" s="212" t="n"/>
      <c r="Z124" s="212" t="n"/>
      <c r="AB124" s="212" t="n"/>
    </row>
    <row r="125"/>
    <row r="126"/>
    <row r="127"/>
    <row r="128"/>
    <row r="129">
      <c r="A129" s="95" t="inlineStr">
        <is>
          <t>Labor</t>
        </is>
      </c>
      <c r="D129" s="214">
        <f>+SUM(D53:D59)</f>
        <v/>
      </c>
      <c r="F129" s="214">
        <f>+SUM(F53:F59)</f>
        <v/>
      </c>
      <c r="H129" s="214">
        <f>+SUM(H53:H59)</f>
        <v/>
      </c>
      <c r="J129" s="214">
        <f>+SUM(J53:J59)</f>
        <v/>
      </c>
      <c r="L129" s="214">
        <f>+SUM(L53:L59)</f>
        <v/>
      </c>
      <c r="N129" s="214">
        <f>+SUM(N53:N59)</f>
        <v/>
      </c>
      <c r="P129" s="214">
        <f>+SUM(P53:P59)</f>
        <v/>
      </c>
      <c r="R129" s="214">
        <f>+SUM(R53:R59)</f>
        <v/>
      </c>
      <c r="T129" s="214">
        <f>+SUM(T53:T59)</f>
        <v/>
      </c>
      <c r="V129" s="214">
        <f>+SUM(V53:V59)</f>
        <v/>
      </c>
      <c r="X129" s="214">
        <f>+SUM(X53:X59)</f>
        <v/>
      </c>
      <c r="Z129" s="214">
        <f>+SUM(Z53:Z59)</f>
        <v/>
      </c>
      <c r="AB129" s="214">
        <f>+SUM(AB53:AB59)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2026-08-13T16:44:28Z</dcterms:created>
  <dcterms:modified xmlns:dcterms="http://purl.org/dc/terms/" xmlns:xsi="http://www.w3.org/2001/XMLSchema-instance" xsi:type="dcterms:W3CDTF">2026-10-13T14:41:12Z</dcterms:modified>
</cp:coreProperties>
</file>